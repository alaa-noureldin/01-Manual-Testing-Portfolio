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la'a Nour Eldin\Desktop\01 - Manual Testing Portfolio\Banking-FinTech\01-Testcase Design &amp; Traceability Matrix\"/>
    </mc:Choice>
  </mc:AlternateContent>
  <bookViews>
    <workbookView xWindow="-108" yWindow="-108" windowWidth="23256" windowHeight="12456"/>
  </bookViews>
  <sheets>
    <sheet name="Retail Customer" sheetId="1" r:id="rId1"/>
  </sheets>
  <externalReferences>
    <externalReference r:id="rId2"/>
  </externalReferences>
  <definedNames>
    <definedName name="_xlnm._FilterDatabase" localSheetId="0" hidden="1">'Retail Customer'!$A$1:$N$154</definedName>
    <definedName name="RequirementType">[1]List!$A$2:$A$10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 i="1" l="1"/>
  <c r="F4" i="1" l="1"/>
  <c r="F5" i="1" s="1"/>
  <c r="F6" i="1" s="1"/>
  <c r="F7" i="1" s="1"/>
  <c r="F8" i="1" s="1"/>
  <c r="F9" i="1" s="1"/>
  <c r="F10" i="1" s="1"/>
  <c r="F11" i="1" s="1"/>
  <c r="F12" i="1" s="1"/>
  <c r="F13" i="1" s="1"/>
  <c r="F14" i="1" s="1"/>
  <c r="F15" i="1" s="1"/>
  <c r="F16" i="1" s="1"/>
  <c r="F17" i="1" s="1"/>
  <c r="F18" i="1" s="1"/>
  <c r="F19" i="1" s="1"/>
  <c r="F20" i="1" s="1"/>
  <c r="F21" i="1" s="1"/>
  <c r="F22" i="1" s="1"/>
  <c r="F23" i="1" s="1"/>
  <c r="F24" i="1" s="1"/>
  <c r="F25" i="1" s="1"/>
  <c r="F26" i="1" s="1"/>
  <c r="F27" i="1" s="1"/>
  <c r="F28" i="1" s="1"/>
  <c r="F29" i="1" s="1"/>
  <c r="F30" i="1" s="1"/>
  <c r="F31" i="1" s="1"/>
  <c r="F32" i="1" s="1"/>
  <c r="F33" i="1" s="1"/>
  <c r="F34" i="1" s="1"/>
  <c r="F35" i="1" s="1"/>
  <c r="F36" i="1" s="1"/>
  <c r="F37" i="1" s="1"/>
  <c r="F38" i="1" s="1"/>
  <c r="F39" i="1" s="1"/>
  <c r="F40" i="1" s="1"/>
  <c r="F41" i="1" s="1"/>
  <c r="F42" i="1" s="1"/>
  <c r="F43" i="1" s="1"/>
  <c r="F44" i="1" s="1"/>
  <c r="F45" i="1" s="1"/>
  <c r="F46" i="1" s="1"/>
  <c r="F47" i="1" s="1"/>
  <c r="F48" i="1" s="1"/>
  <c r="F49" i="1" s="1"/>
  <c r="F50" i="1" s="1"/>
  <c r="F51" i="1" s="1"/>
  <c r="F52" i="1" s="1"/>
  <c r="F53" i="1" s="1"/>
  <c r="F54" i="1" s="1"/>
  <c r="F55" i="1" s="1"/>
  <c r="F56" i="1" s="1"/>
  <c r="F57" i="1" s="1"/>
  <c r="F58" i="1" s="1"/>
  <c r="F59" i="1" s="1"/>
  <c r="F60" i="1" s="1"/>
  <c r="F61" i="1" s="1"/>
  <c r="F62" i="1" s="1"/>
  <c r="F63" i="1" s="1"/>
  <c r="F64" i="1" s="1"/>
  <c r="F65" i="1" s="1"/>
  <c r="F66" i="1" s="1"/>
  <c r="F67" i="1" s="1"/>
  <c r="F68" i="1" s="1"/>
  <c r="F69" i="1" s="1"/>
  <c r="F70" i="1" s="1"/>
  <c r="F71" i="1" s="1"/>
  <c r="F72" i="1" s="1"/>
  <c r="F73" i="1" s="1"/>
  <c r="F74" i="1" s="1"/>
  <c r="F75" i="1" s="1"/>
  <c r="F76" i="1" s="1"/>
  <c r="F77" i="1" s="1"/>
  <c r="F78" i="1" s="1"/>
  <c r="F79" i="1" s="1"/>
  <c r="F80" i="1" s="1"/>
  <c r="F81" i="1" s="1"/>
  <c r="F82" i="1" s="1"/>
  <c r="F83" i="1" s="1"/>
  <c r="F84" i="1" s="1"/>
  <c r="F85" i="1" s="1"/>
  <c r="F86" i="1" s="1"/>
  <c r="F87" i="1" s="1"/>
  <c r="F88" i="1" s="1"/>
  <c r="F89" i="1" s="1"/>
  <c r="F90" i="1" s="1"/>
  <c r="F91" i="1" s="1"/>
  <c r="F92" i="1" s="1"/>
  <c r="F93" i="1" s="1"/>
  <c r="F94" i="1" s="1"/>
  <c r="F95" i="1" s="1"/>
  <c r="F96" i="1" s="1"/>
  <c r="F97" i="1" s="1"/>
  <c r="F98" i="1" s="1"/>
  <c r="F99" i="1" s="1"/>
  <c r="F100" i="1" s="1"/>
  <c r="F101" i="1" s="1"/>
  <c r="F102" i="1" s="1"/>
  <c r="F103" i="1" s="1"/>
  <c r="F104" i="1" s="1"/>
  <c r="F105" i="1" s="1"/>
  <c r="F106" i="1" s="1"/>
  <c r="F107" i="1" s="1"/>
  <c r="F108" i="1" s="1"/>
  <c r="F109" i="1" s="1"/>
  <c r="F110" i="1" s="1"/>
  <c r="F111" i="1" s="1"/>
  <c r="F112" i="1" s="1"/>
  <c r="F113" i="1" s="1"/>
  <c r="F114" i="1" s="1"/>
  <c r="F115" i="1" s="1"/>
  <c r="F116" i="1" s="1"/>
  <c r="F117" i="1" s="1"/>
  <c r="F118" i="1" s="1"/>
  <c r="F119" i="1" s="1"/>
  <c r="F120" i="1" s="1"/>
  <c r="F121" i="1" s="1"/>
  <c r="F122" i="1" s="1"/>
  <c r="F123" i="1" s="1"/>
  <c r="F124" i="1" s="1"/>
  <c r="F125" i="1" s="1"/>
  <c r="F126" i="1" s="1"/>
  <c r="F127" i="1" s="1"/>
  <c r="F128" i="1" s="1"/>
  <c r="F129" i="1" s="1"/>
  <c r="F130" i="1" s="1"/>
  <c r="F131" i="1" s="1"/>
  <c r="F132" i="1" s="1"/>
  <c r="F133" i="1" s="1"/>
  <c r="F134" i="1" s="1"/>
  <c r="F135" i="1" s="1"/>
  <c r="F136" i="1" s="1"/>
  <c r="F137" i="1" s="1"/>
  <c r="F138" i="1" s="1"/>
  <c r="F139" i="1" s="1"/>
  <c r="F140" i="1" s="1"/>
  <c r="F141" i="1" s="1"/>
  <c r="F142" i="1" s="1"/>
  <c r="F143" i="1" s="1"/>
  <c r="F144" i="1" s="1"/>
  <c r="F145" i="1" s="1"/>
  <c r="F146" i="1" s="1"/>
  <c r="F147" i="1" s="1"/>
  <c r="F148" i="1" s="1"/>
  <c r="F149" i="1" s="1"/>
  <c r="F150" i="1" s="1"/>
  <c r="F151" i="1" s="1"/>
  <c r="F152" i="1" s="1"/>
  <c r="F153" i="1" s="1"/>
  <c r="F154" i="1" s="1"/>
</calcChain>
</file>

<file path=xl/sharedStrings.xml><?xml version="1.0" encoding="utf-8"?>
<sst xmlns="http://schemas.openxmlformats.org/spreadsheetml/2006/main" count="517" uniqueCount="233">
  <si>
    <t>Component</t>
  </si>
  <si>
    <t>Req-ID</t>
  </si>
  <si>
    <t>Classification</t>
  </si>
  <si>
    <t>Testcase Name</t>
  </si>
  <si>
    <t>Precondition</t>
  </si>
  <si>
    <t>Objective</t>
  </si>
  <si>
    <t>Actor</t>
  </si>
  <si>
    <t>Test Data</t>
  </si>
  <si>
    <t>Steps</t>
  </si>
  <si>
    <t>Expected Result</t>
  </si>
  <si>
    <t>Customer</t>
  </si>
  <si>
    <t>Maker</t>
  </si>
  <si>
    <t>Login with a valid user name and password </t>
  </si>
  <si>
    <t>Values entered successfully</t>
  </si>
  <si>
    <t>Click on Submit</t>
  </si>
  <si>
    <t>Checker</t>
  </si>
  <si>
    <t>Navigate to RCCAT menu</t>
  </si>
  <si>
    <t>Fill in Mandatory fields
CIF Type
operation
CIF ID
 Entity type</t>
  </si>
  <si>
    <t>Click on Search</t>
  </si>
  <si>
    <t>CIF ID LIST will be displayed</t>
  </si>
  <si>
    <t xml:space="preserve">Click on Approve </t>
  </si>
  <si>
    <t>Click Submit</t>
  </si>
  <si>
    <t>Minor Customer</t>
  </si>
  <si>
    <t>MRD.CIF.001
MRD.CIF.006</t>
  </si>
  <si>
    <t>Out of the Box Configuration</t>
  </si>
  <si>
    <t>CIF with same National ID already exist</t>
  </si>
  <si>
    <t>National ID</t>
  </si>
  <si>
    <t>CIF with same Passport ID already exist</t>
  </si>
  <si>
    <t>Non National CIF with same Passport ID already exist</t>
  </si>
  <si>
    <t>MRD.CIF.002,
MRD.CIF 016
MRD.CIF.027</t>
  </si>
  <si>
    <t>Passport no</t>
  </si>
  <si>
    <t xml:space="preserve">Customer </t>
  </si>
  <si>
    <t>MRD.CIF.021</t>
  </si>
  <si>
    <t>Report</t>
  </si>
  <si>
    <t>MRD.CIF.060</t>
  </si>
  <si>
    <t>MRD.CIF.062</t>
  </si>
  <si>
    <t>Stream</t>
  </si>
  <si>
    <t>Priority</t>
  </si>
  <si>
    <t>Labels</t>
  </si>
  <si>
    <t>User Logged in Successfully and Directed to the Home Page</t>
  </si>
  <si>
    <t>Values Entered Successfully
Dedup Check results will be displayed 
CIF ID will be generated</t>
  </si>
  <si>
    <t>Fill in Mandatory fields
Phone Details
Address Details
click on Continue</t>
  </si>
  <si>
    <t>Values entered Successfully
Phone &amp; summary List will be auto populated</t>
  </si>
  <si>
    <t>Additional details will be saved and validated successfully</t>
  </si>
  <si>
    <t>preference will be saved and validated successfully</t>
  </si>
  <si>
    <t>RCCAT will be displayed successfully</t>
  </si>
  <si>
    <t>Validate that Maker can’t create a new CIF using same National ID of already existing CIF on the system</t>
  </si>
  <si>
    <t>CERC Opened successfully</t>
  </si>
  <si>
    <t>Military ID</t>
  </si>
  <si>
    <t>Validate that Maker can’t create a new CIF using same Passport ID of already existing CIF on the system</t>
  </si>
  <si>
    <t>Customer is a foreigner</t>
  </si>
  <si>
    <t>TC-ID</t>
  </si>
  <si>
    <t xml:space="preserve">Login with a valid user name and password  </t>
  </si>
  <si>
    <t>CIF is Verified Successfully</t>
  </si>
  <si>
    <t>Birth Certificate</t>
  </si>
  <si>
    <t>Click on next section</t>
  </si>
  <si>
    <t>High</t>
  </si>
  <si>
    <t>Customer is minor with valid birth certificate</t>
  </si>
  <si>
    <t>Validate that maker can Create Minor CIF with the following criteria:
1- CCY: EGP
2- Birth Certificate</t>
  </si>
  <si>
    <t>MRD.CIF.001
MRD.CIF.002
MRD.CIF.015
MRD.CIF.020</t>
  </si>
  <si>
    <t>Validate that checker can verify minor CIF Creation</t>
  </si>
  <si>
    <t>Non National Passport no</t>
  </si>
  <si>
    <t>Foreign Passport no</t>
  </si>
  <si>
    <t>MRD.CIF.115</t>
  </si>
  <si>
    <t>MRD.CIF.114</t>
  </si>
  <si>
    <t>MRD.CIF.108</t>
  </si>
  <si>
    <t>MRD.CIF.117</t>
  </si>
  <si>
    <t>Out of the Box Configuration
Integration
Enhancement</t>
  </si>
  <si>
    <t>Valid Military ID</t>
  </si>
  <si>
    <t>CERC menu will be displayed</t>
  </si>
  <si>
    <t>Fill in Mandatory fields
Phone Details
click on Continue</t>
  </si>
  <si>
    <t>Navigate to Identification Document Summary List 
Check that National ID field is non-editable</t>
  </si>
  <si>
    <t>Values entered Successfully
Identification Document Summary List will be auto populated
Address Details will be auto populated (Expiry date will be the same as National ID Expiry date)</t>
  </si>
  <si>
    <t>National ID field is not editable</t>
  </si>
  <si>
    <t>Values entered successfully
Risk Assessment Field is auto-populated</t>
  </si>
  <si>
    <t>In General details section fill in mandatory fields 
In ABE Specific
Account Opening Purpose
Correspondence Instructions
Payroll flag
In Risk Details
Country of dealing
Residence Country
PEP review date
nationality
PEP (No)
Click on Calculate Risk Button
In FATCA Details
Do you have permanent residential address in any other country: No
Do you have any other nationality: No</t>
  </si>
  <si>
    <t>CIF ID is enriched successfully (Numeric Value) and pending for verification</t>
  </si>
  <si>
    <t>Fill in Mandatory fields
- CIF Type
- operation
- CIF ID
- Entity type</t>
  </si>
  <si>
    <t>Audit details will be shown as below:
Customer creation date
user details
customer enrichment details
user details
changed values of attributes</t>
  </si>
  <si>
    <t>CIF details will be displayed
Approval form will be displayed successfully</t>
  </si>
  <si>
    <t>Enter value in "Remarks" field
Click on Audit Trail Button</t>
  </si>
  <si>
    <t>Fill below mandatory fields
Guardian CIF ID
Guardian Details</t>
  </si>
  <si>
    <t>Fill in Mandatory Fields
Document Type
Document No
CIF Subtype</t>
  </si>
  <si>
    <t>Click Perform Dedup Check</t>
  </si>
  <si>
    <t>Values Entered Successfully</t>
  </si>
  <si>
    <t xml:space="preserve">Dedup Check will be positive 
GO BUTTON will be disabled
Customer onboarding will be stopped by the system. </t>
  </si>
  <si>
    <t>Values entered successfully
English Language Section will be displayed</t>
  </si>
  <si>
    <t>Navigate to Identification Document Summary List 
Check that Passport ID field is non-editable</t>
  </si>
  <si>
    <t>Passport ID field is not editable</t>
  </si>
  <si>
    <t>In basic details
Fill in mandatory fields
Salutation
Date of birth
Nationality</t>
  </si>
  <si>
    <t>Values entered Successfully
Identification Document Summary List will be auto populated</t>
  </si>
  <si>
    <t>National ID field is not editable
Other fields are editable</t>
  </si>
  <si>
    <t>CIF details will be displayed
Approval form will be submitted successfully</t>
  </si>
  <si>
    <t>Fields are validated successfully</t>
  </si>
  <si>
    <t>User will log into the system</t>
  </si>
  <si>
    <t>Log in done successfully</t>
  </si>
  <si>
    <t>Values entered successfully and user is directed to the next section.</t>
  </si>
  <si>
    <t>CIF ID List Appears successfully Values entered successfully</t>
  </si>
  <si>
    <t>Approve form will be displayed Successfully</t>
  </si>
  <si>
    <t>Click on "Submit" button</t>
  </si>
  <si>
    <t>Login to the System With Valid User Name and Password</t>
  </si>
  <si>
    <t>User logged in successfully</t>
  </si>
  <si>
    <t>Medium</t>
  </si>
  <si>
    <t>Navigate to Minor Customer Report menu</t>
  </si>
  <si>
    <t>Minor Customer Report menu is displayed successfully</t>
  </si>
  <si>
    <t>Values entered successfully.
Minor Customer Report is Generated successfully.</t>
  </si>
  <si>
    <t>Fields are validated successfully.</t>
  </si>
  <si>
    <t>Validate that the user can generate minor report.</t>
  </si>
  <si>
    <t>1-Enter CIF ID
2-Click on "Go" button</t>
  </si>
  <si>
    <t>Navigate to &gt; Report menu</t>
  </si>
  <si>
    <t>Report menu will be opened successfully</t>
  </si>
  <si>
    <t>Values entered successfully.
Report is generated successfully</t>
  </si>
  <si>
    <t>Fill in Mandatory fields:
Select CIF type as Retail.
Enter CIF ID, select entity type as customer and operation as approve.</t>
  </si>
  <si>
    <t xml:space="preserve">Values entered successfully </t>
  </si>
  <si>
    <t>Navigate to &gt;  Report menu.</t>
  </si>
  <si>
    <t>Report menu is displayed successfully</t>
  </si>
  <si>
    <t>Validate on the following fields:
CIF ID
CIF opening date
Branch code
branch name
User code (Customer Created by User)
customer name
Customer type
customer segment
ID type
ID number
Risk level (Risk Rating)</t>
  </si>
  <si>
    <t>Fill Mandatory fields of Compliance Risk Matrix</t>
  </si>
  <si>
    <t>Compliance Risk Matrix fields filled successfully</t>
  </si>
  <si>
    <t>Enter mandatory and non-mandatory (if needed) for conversion details.</t>
  </si>
  <si>
    <t>Customer conversion done successfully and pending on verification.</t>
  </si>
  <si>
    <t>Prospect to customer conversion done and pending on verification.</t>
  </si>
  <si>
    <t>Click on search button</t>
  </si>
  <si>
    <t>Click on approve</t>
  </si>
  <si>
    <t>Corporate CIF is verified successfully</t>
  </si>
  <si>
    <t>MRD.CIF.001
MRD.CIF.002
MRD.CIF.008
MRD.CIF.009
MRD.CIF.013
MRD.CIF.016
MRD.CIF.023
MRD.CIF.025
MRD.CIF.029
MRD.CIF.030
MRD.CIF.031
MRD.CIF.034
MRD.CIF.041
MRD.CIF.139
MRD.CIF.084
MRD.CIF.064
MRD.CIF.052
MRD.CIF.056
MRD.CIF.050
MRD.CIF.060</t>
  </si>
  <si>
    <t>Unverified Minor CIF ID
Checker user should have the same Branch/SOL ID as Maker user.</t>
  </si>
  <si>
    <t>MRD.CIF.001
MRD.CIF.002
MRD.CIF.015
MRD.CIF.020
MRD.CIF.050</t>
  </si>
  <si>
    <t>MRD.CIF.002,
MRD.CIF 016
MRD.CIF.027
MRD.CIF.050</t>
  </si>
  <si>
    <t>MRD.CIF.021
MRD.CIF.050</t>
  </si>
  <si>
    <t>AS-IS</t>
  </si>
  <si>
    <t>Data validated successfully</t>
  </si>
  <si>
    <t>Validate that the maker can inquire existed customer retail</t>
  </si>
  <si>
    <t>Validate that the maker can inquire prospect customer retail</t>
  </si>
  <si>
    <t>MRD.CIF.001
MRD.CIF.002
MRD.CIF.008
MRD.CIF.009
MRD.CIF.013
MRD.CIF.016
MRD.CIF.023
MRD.CIF.025
MRD.CIF.029
MRD.CIF.030
MRD.CIF.031
MRD.CIF.034
MRD.CIF.041
MRD.CIF.139
MRD.CIF.084
MRD.CIF.055
MRD.CIF.039
MRD.CIF.056
MRD.CIF.060
MRD.CIF.064</t>
  </si>
  <si>
    <t>Customer_Minor_CreateNewCIF_UsingBirthCertificate_ByMaker_B1</t>
  </si>
  <si>
    <t>Customer_Minor_VerifyMinorCreation_UsingBirthCertificate_ByChecker_B2</t>
  </si>
  <si>
    <t xml:space="preserve">Out of the Box Configuration
</t>
  </si>
  <si>
    <t>Validate that the user able to create prospect customer</t>
  </si>
  <si>
    <t>Valid national id</t>
  </si>
  <si>
    <t>Validate on the following fields:
CIF id
customer name
ID type
ID number
customer segment
CIF creation date
CIF branch name
CIF branch code
date of segment flagging/de flagging 
user code for segment action</t>
  </si>
  <si>
    <t>Validate on the following fields:
CIF Id
CIF branch name
CIF Branch code
CIF creation date
User code (Customer Created by User)
customer name
CIF type 
Customer segment 
staff flag
Last KYC date
risk level (Risk Rating)
date of birth
nationality
ID Type (Preferred ID Document)
ID Number (Preferred ID Document)
country of residency
resident address
mailing address
contact numbers
E mail.
Customer status
FATCA flag status
(Below fields are placeholders, with no data mapping currently).
credit card Number 
credit card status
Supplementary ( y or N)
Supplementary card status</t>
  </si>
  <si>
    <t>In basic details
Fill in mandatory fields
Salutation
Date of birth</t>
  </si>
  <si>
    <t>Fill In mandatory fields in English
first name
middle name
last name 
Click Screening check (AML - SAS - CBE Blacklist)</t>
  </si>
  <si>
    <t>Enter English Language Section Fields
Enter Arabic Language section fields
Perform Screening Check  (AML - SAS - CBE Blacklist)</t>
  </si>
  <si>
    <t>Fill In mandatory fields in English
first name
middle name
last name 
Click Screening check  (AML - SAS - CBE Blacklist)</t>
  </si>
  <si>
    <t>Values entered successfully.
AML - SAS - CBE Blacklist checked successfully.</t>
  </si>
  <si>
    <t xml:space="preserve">Validate on the following fields:
CIF ID
Gender
Date of Birth
Customer type
customer segment 
ID type
ID number
age
Customer Name
Mobile number
Date of maturity for minor to be adult with number of days for maturity
</t>
  </si>
  <si>
    <t xml:space="preserve">Fill in Mandatory Fields
Document Type National ID as default type
Document No
CIF Subtype
click Perform Dedup Check
Click on MIO Check.
Click on GO </t>
  </si>
  <si>
    <t>Values Entered Successfully
Dedup Check results will be displayed 
CIF ID will be generated.
MIO is checked successfully.</t>
  </si>
  <si>
    <t xml:space="preserve">Fill in Mandatory Fields
Document Type National ID as default type
Document No
CIF Subtype: Prospect
click Perform Dedup Check.
Click on MIO check.
Click on GO </t>
  </si>
  <si>
    <t xml:space="preserve">Values entered successfully.
Fields which will be autopoulated:
1. Salutation
2. First Name (in Arabic)
3. Last Name (in Arabic)
4. Full Name (in Arabic)
5. Short Name (in Arabic)
6. Date of Birth
7. Gender
8. Address
9.Mother's Maiden Name
10. Mother's First Name
English Language Section will be displayed.
</t>
  </si>
  <si>
    <t>In other details tab Fill in mandatory fields
In Personal details
Martial Status
In Employment details
Customer Type
Occupation
click Continue button</t>
  </si>
  <si>
    <t xml:space="preserve">Values entered successfully.
Fields which will be autopoulated:
1. Mother's Maiden Name
2. Mother's First Name
3. Customer Residency Status
4. Residence Country
5. FNR Flag
6. Primary Relationship Manager ID
7. Home Branch
8. Bank Employee is "No"
User will be directed to "Additional Details" tab.
</t>
  </si>
  <si>
    <t>In other details tab Fill in mandatory fields
In Personal details
Martial Status
Bank Employee is "yes"
In Employment details
Customer Type
Occupation
click Continue button</t>
  </si>
  <si>
    <t xml:space="preserve">Values entered successfully.
Fields which will be autopoulated:
1. Mother's Maiden Name
2. Mother's First Name
3. Customer Residency Status
4. Residence Country
5. FNR Flag
6. Primary Relationship Manager ID
7. Home Branch
8. Bank Employee is "No"
User will be directed to "Additional Details" tab.
</t>
  </si>
  <si>
    <t>In basic details
Perform I-Score Check 
Fill in mandatory fields
1. Middle Name (in Arabic)</t>
  </si>
  <si>
    <t>In basic details
Perform I-Score Check.
Fill in mandatory fields:
Middle Name (in Arabic)</t>
  </si>
  <si>
    <t xml:space="preserve">Values entered successfully
English Language Section will be displayed.
Fields which will be autopoulated:
1. Salutation
2. First Name (in Arabic)
3. Last Name (in Arabic)
4. Full Name (in Arabic)
5. Short Name (in Arabic)
6. Date of Birth
7. Gender
8. Address
9.Mother's Maiden Name
10.Mother's First Name
</t>
  </si>
  <si>
    <t xml:space="preserve">Values entered successfully
English Language Section will be displayed.
Fields which will be autopoulated:
1. Salutation
2. First Name (in Arabic)
3. Last Name (in Arabic)
4. Full Name (in Arabic)
5. Short Name (in Arabic)
6. Date of Birth
7. Gender
8. Address
9.Mother's Maiden Name
10. Mother's First Name
</t>
  </si>
  <si>
    <t>Values entered successfully.</t>
  </si>
  <si>
    <t>In Financial Details Section:
Fill in mandatory details as below:
- Source of Funds
- Income Bracket
Click on next section</t>
  </si>
  <si>
    <t>Values entered successfully.
User will be directed to "Relationship details" tab.</t>
  </si>
  <si>
    <r>
      <t xml:space="preserve">Fill in Mandatory Fields
</t>
    </r>
    <r>
      <rPr>
        <sz val="10"/>
        <rFont val="Calibri"/>
        <family val="2"/>
        <scheme val="minor"/>
      </rPr>
      <t>Document Type National ID</t>
    </r>
    <r>
      <rPr>
        <sz val="10"/>
        <color theme="1"/>
        <rFont val="Calibri"/>
        <family val="2"/>
        <scheme val="minor"/>
      </rPr>
      <t xml:space="preserve">
Document No
CIF Subtype
click Perform Dedup Check
Click on MIO check.
Click on GO </t>
    </r>
  </si>
  <si>
    <t>values entered successfully
English Language Section will be displayed.
Date of Birth is autopopulated successfully</t>
  </si>
  <si>
    <t>Values entered successfully.
Fields are autopopulated:
1. Country of Issue
2. Primary</t>
  </si>
  <si>
    <t xml:space="preserve">1-Click on "+" in "Identification Document Summary List".
2-Enter mandatory fields:
Document Type: RETAIL
Document Code: BIRTH
Document No.
Issue Date
Expiry Date
3-Click on "Save and Preview" button
</t>
  </si>
  <si>
    <r>
      <t xml:space="preserve">Minor field is defaulted as Yes
Nationality is defaulted as EG
AML - SAS - CBE Blacklist checked successfully.
</t>
    </r>
    <r>
      <rPr>
        <strike/>
        <sz val="10"/>
        <color theme="1"/>
        <rFont val="Calibri"/>
        <family val="2"/>
        <scheme val="minor"/>
      </rPr>
      <t>Guardian details are displayed successfully</t>
    </r>
  </si>
  <si>
    <t xml:space="preserve">Values entered successfully.
Fields which will be autopoulated:
1. Mother's Maiden Name
2. Mother's First Name
3. Customer Residency Status
4. Residence Country
5. FNR Flag
6. Primary Relationship Manager ID
7. Home Branch
8. Bank Employee is "No"
9. Customer Type: Minor
10. Occupation: Minor
User will be directed to "Additional Details" tab.
</t>
  </si>
  <si>
    <t>In other details tab Fill in mandatory fields
In Personal details
Martial Status
click Continue button</t>
  </si>
  <si>
    <t xml:space="preserve">Fill in Mandatory Fields
Document Type: National ID
Document No
CIF Subtype
click Perform Dedup Check
Click on GO </t>
  </si>
  <si>
    <t xml:space="preserve">Values entered Successfully
Identification Document Summary List will be auto populated
Address Details will be auto populated </t>
  </si>
  <si>
    <t xml:space="preserve">1-Click on "+" in "Identification Document Summary List".
2-Enter mandatory fields:
Document Type: RETAIL
Document Code: MITID
Document No.
Issue Date
Expiry Date
3-Click on "Save and Preview" button
</t>
  </si>
  <si>
    <t xml:space="preserve">Values entered successfully
Fields autopopulated in "Risk Details" tab:
Customer Type
Occupation
Nationality
Residence Country
PEP
PEP review date
</t>
  </si>
  <si>
    <t xml:space="preserve">In General details section fill in mandatory fields 
In "ABE Specific" tab
Enter Mandatory fields:
POA
Account Opening Purpose
Correspondence Instructions
Payroll Flag
In "Risk Details" tab
Enter Mandatory fields:
Country of dealing
Click on Calculate Risk Button
In "FATCA Details" tab
Enter Mandatory fields:
Do you have any other nationality
Do you have permanent residential address in any other country
Are you Resident at the US or a green card holder?
</t>
  </si>
  <si>
    <t xml:space="preserve">In General details section fill in mandatory fields 
In "ABE Specific" tab
Enter Mandatory fields:
POA
Account Opening Purpose
Correspondence Instructions
Payroll Flag
In "Risk Details" tab
Enter Mandatory fields:
Country of dealing
Click on Calculate Risk Button
In "FATCA Details" tab
Enter Mandatory fields:
Do you have any other nationality: Yes
Do you have any other nationality: Yes
Please specify if Yes
Do you have permanent residential address in any other country
Please specify if Yes
Are you Resident at the US or a green card holder?
Were you born in the US or have a US nationality
Recalcitrant
Have you entered the USA in the past 3years?
FATCA Reportable
TIN
Fatca Compliant
US Form
</t>
  </si>
  <si>
    <t xml:space="preserve">Values entered successfully
Fields autopopulated in "Risk Details" tab:
Customer Type
Occupation
Nationality
Residence Country
PEP
PEP review date
Risk assessment field will be autopopulated after clicking on "Calculate Risk" button.
</t>
  </si>
  <si>
    <t xml:space="preserve">Fill in Mandatory Fields
Document Type Passport ID
Document No
CIF Subtype
click Perform Dedup Check.
Click on GO </t>
  </si>
  <si>
    <t>Values Entered Successfully
Dedup Check results will be displayed 
CIF ID will be generated.</t>
  </si>
  <si>
    <t>Customer is with valid national ID</t>
  </si>
  <si>
    <t>Validate that maker can Create and Enrich CIF with the following criteria:
1- CCY: EGP
2- National ID</t>
  </si>
  <si>
    <t>Navigate to Create CIF "CERC" Menu</t>
  </si>
  <si>
    <t>In Additional details tab
Fill in Mandatory fields
Segment 
Sub segment 
Click on Save &amp; enrich
click procced for enrichment</t>
  </si>
  <si>
    <t>Values entered Successfully
CIF ID will be saved successfully
Enrich CIF "ERC" menu will be Displayed</t>
  </si>
  <si>
    <t>Unverified CIF ID.
Checker user should have the same Branch/SOL ID as Maker user.</t>
  </si>
  <si>
    <t>Validate that Checker can Verify CIF Creation</t>
  </si>
  <si>
    <t>Navigate to CERC "Create CIF"</t>
  </si>
  <si>
    <t>Validate that Maker can create NEW Customer CIF using Military ID</t>
  </si>
  <si>
    <t>Validate that checker can Verify Customer Creation Using Military ID</t>
  </si>
  <si>
    <t>Validate that maker can create new Customer CIF using Foreign Passport No</t>
  </si>
  <si>
    <t>Validate that checker can Verify  Customer Creation Using Foreign Passport No</t>
  </si>
  <si>
    <t>Verified minor customer CIF</t>
  </si>
  <si>
    <t>Enter CIF ID: (=Minor Customer CIF)</t>
  </si>
  <si>
    <t>CIF verified.</t>
  </si>
  <si>
    <t>Validate that Maker can generate  segment report for cif</t>
  </si>
  <si>
    <t>1-Enter CIF ID: (=CIF ID)
2-Click on "Go" button</t>
  </si>
  <si>
    <t>Verified CIF</t>
  </si>
  <si>
    <t>User will be able to generate KYC report for customer.</t>
  </si>
  <si>
    <t>User will be able to generate CIF Portfolio report for customer.</t>
  </si>
  <si>
    <t>Prospect customer needed.</t>
  </si>
  <si>
    <t xml:space="preserve">Validate Conversion of prospect to a customer </t>
  </si>
  <si>
    <t>Navigate to "Convert Entity to Customer /  CREC" menu</t>
  </si>
  <si>
    <t xml:space="preserve"> "Convert Entity to Customer /  CREC" menu will be displayed</t>
  </si>
  <si>
    <t>1-Fill in Mandatory fields :
CIF Subtype: Prospect
CIF ID: (=Prospect CIF ID)</t>
  </si>
  <si>
    <t>Validate that user can convert prospect to customer</t>
  </si>
  <si>
    <t>Navigate to &gt;  "and Corporate CIF Approval Tray / RCCAT" menu.</t>
  </si>
  <si>
    <t>"and Corporate CIF Approval Tray / RCCAT" menu  will be opened successfully</t>
  </si>
  <si>
    <t>Verified customer</t>
  </si>
  <si>
    <t>Navigate to "Inquire on CIF / IERC" menu</t>
  </si>
  <si>
    <t>Inquire on CIF / IERC menu is opened successfully</t>
  </si>
  <si>
    <t>1-Enter mandatory fields:
CIF Subtype: Customer
CIF ID: (=CIF ID)
2-Click on "Go" button</t>
  </si>
  <si>
    <t>Validate on the data entries for the CIF ID</t>
  </si>
  <si>
    <t>1-Enter mandatory fields:
CIF Subtype: Prospect
CIF ID: (=CIF ID)
2-Click on "Go" button</t>
  </si>
  <si>
    <t>Validate that Checker can Verify prospect CIF Creation</t>
  </si>
  <si>
    <t>Customer_Create&amp;EnrichNewCIF_UsingNationalID_ByMaker_A1</t>
  </si>
  <si>
    <t>Customer_Verify_NewCIFCreation&amp;Enrich_UsingNationalID_ByChecker_A2</t>
  </si>
  <si>
    <t>Customer_CreateNewCIF_UsingNationalID_AlreadyExist_ByMaker_Negative</t>
  </si>
  <si>
    <t>Customer_CreateNewCIF_UsingPassportID_AlreadyExist_ByMaker_Negative</t>
  </si>
  <si>
    <t>Customer_CreateNewCIF_NonNational_UsingPassportID_AlreadyExist_ByMaker_Negative</t>
  </si>
  <si>
    <t>Customer_CreateNewCIF_UsingMilitaryID_ByMaker_D1</t>
  </si>
  <si>
    <t>Customer_VerifyNewCIFCreation_UsingMIlitaryID_ByChecker_D2</t>
  </si>
  <si>
    <t>Customer_CreateNewCIF_UsingForeignPassportNo_ByMaker_F1</t>
  </si>
  <si>
    <t>Customer_VerifyNewCIF_UsingForeignPassportNo_ByChecker_F2</t>
  </si>
  <si>
    <t>Customer_Generate_MinorReport_ByMaker</t>
  </si>
  <si>
    <t>Customer_Generate_SegmentReport_ByMaker</t>
  </si>
  <si>
    <t>Customer_Generate_KYCReport_ByMaker</t>
  </si>
  <si>
    <t>Customer_Generate_CIFPortofolioReport_ByMaker</t>
  </si>
  <si>
    <t>Customer_Convert_ProspectToCustomer_ByMaker_R1</t>
  </si>
  <si>
    <t>Customer_Verify_ProspectToCustomerConversion_ByChecker_R2</t>
  </si>
  <si>
    <t>Customer_Inquire_OnExistedCustomer_ByMaker</t>
  </si>
  <si>
    <t>Customer_Inquire_OnProspectCustomer_ByMaker</t>
  </si>
  <si>
    <t>Customer_Create_ProspectCustomer_ByMaker_AB1</t>
  </si>
  <si>
    <t>Customer_Verify_ProspectCustomerCreated_ByMaker_AB2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</si>
</sst>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font>
      <sz val="11"/>
      <color theme="1"/>
      <name val="Calibri"/>
      <family val="2"/>
      <scheme val="minor"/>
    </font>
    <font>
      <sz val="11"/>
      <color theme="1"/>
      <name val="Colfax"/>
      <family val="2"/>
    </font>
    <font>
      <sz val="10"/>
      <color theme="1"/>
      <name val="Calibri"/>
      <family val="2"/>
      <scheme val="minor"/>
    </font>
    <font>
      <b/>
      <sz val="10"/>
      <color theme="0"/>
      <name val="Calibri"/>
      <family val="2"/>
      <scheme val="minor"/>
    </font>
    <font>
      <sz val="10"/>
      <name val="Calibri"/>
      <family val="2"/>
      <scheme val="minor"/>
    </font>
    <font>
      <sz val="10"/>
      <color rgb="FFFF0000"/>
      <name val="Calibri"/>
      <family val="2"/>
      <scheme val="minor"/>
    </font>
    <font>
      <sz val="10"/>
      <color theme="1"/>
      <name val="Calibri"/>
      <family val="2"/>
    </font>
    <font>
      <sz val="8"/>
      <name val="Calibri"/>
      <family val="2"/>
      <scheme val="minor"/>
    </font>
    <font>
      <strike/>
      <sz val="10"/>
      <color theme="1"/>
      <name val="Calibri"/>
      <family val="2"/>
      <scheme val="minor"/>
    </font>
    <font>
      <strike/>
      <sz val="10"/>
      <name val="Calibri"/>
      <family val="2"/>
      <scheme val="minor"/>
    </font>
  </fonts>
  <fills count="3">
    <fill>
      <patternFill patternType="none"/>
    </fill>
    <fill>
      <patternFill patternType="gray125"/>
    </fill>
    <fill>
      <patternFill patternType="solid">
        <fgColor rgb="FF00206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2">
    <xf numFmtId="0" fontId="0" fillId="0" borderId="0"/>
    <xf numFmtId="0" fontId="1" fillId="0" borderId="0"/>
  </cellStyleXfs>
  <cellXfs count="21">
    <xf numFmtId="0" fontId="0" fillId="0" borderId="0" xfId="0"/>
    <xf numFmtId="0" fontId="2" fillId="0" borderId="1" xfId="0" applyFont="1" applyBorder="1" applyAlignment="1">
      <alignment horizontal="left" vertical="top" wrapText="1"/>
    </xf>
    <xf numFmtId="0" fontId="6" fillId="0" borderId="1" xfId="0" applyFont="1" applyBorder="1" applyAlignment="1">
      <alignment horizontal="left" vertical="top" wrapText="1"/>
    </xf>
    <xf numFmtId="0" fontId="2" fillId="0" borderId="0" xfId="0" applyFont="1" applyAlignment="1">
      <alignment horizontal="left" vertical="top" wrapText="1"/>
    </xf>
    <xf numFmtId="0" fontId="2" fillId="0" borderId="2" xfId="0" applyFont="1" applyBorder="1" applyAlignment="1">
      <alignment horizontal="left" vertical="top" wrapText="1"/>
    </xf>
    <xf numFmtId="0" fontId="0" fillId="0" borderId="0" xfId="0" applyAlignment="1">
      <alignment horizontal="left" vertical="top" wrapText="1"/>
    </xf>
    <xf numFmtId="0" fontId="3"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3" fillId="2" borderId="3" xfId="0" applyFont="1" applyFill="1" applyBorder="1" applyAlignment="1">
      <alignment horizontal="left" vertical="top" wrapText="1"/>
    </xf>
    <xf numFmtId="0" fontId="5" fillId="0" borderId="0" xfId="0" applyFont="1" applyAlignment="1">
      <alignment horizontal="left" vertical="top" wrapText="1"/>
    </xf>
    <xf numFmtId="0" fontId="8" fillId="0" borderId="1" xfId="0" applyFont="1" applyBorder="1" applyAlignment="1">
      <alignment horizontal="left" vertical="top" wrapText="1"/>
    </xf>
    <xf numFmtId="0" fontId="4" fillId="0" borderId="1" xfId="1" applyFont="1" applyBorder="1" applyAlignment="1">
      <alignment horizontal="left" vertical="top" wrapText="1"/>
    </xf>
    <xf numFmtId="0" fontId="4" fillId="0" borderId="3" xfId="0" applyFont="1" applyBorder="1" applyAlignment="1">
      <alignment horizontal="left" vertical="top" wrapText="1"/>
    </xf>
    <xf numFmtId="0" fontId="2" fillId="0" borderId="0" xfId="0" applyFont="1" applyAlignment="1">
      <alignment horizontal="left" vertical="top"/>
    </xf>
    <xf numFmtId="0" fontId="2" fillId="0" borderId="1" xfId="0" applyFont="1" applyBorder="1" applyAlignment="1">
      <alignment horizontal="left" vertical="top"/>
    </xf>
    <xf numFmtId="0" fontId="2" fillId="0" borderId="3" xfId="0" applyFont="1" applyBorder="1" applyAlignment="1">
      <alignment horizontal="left" vertical="top"/>
    </xf>
    <xf numFmtId="0" fontId="0" fillId="0" borderId="0" xfId="0" applyAlignment="1">
      <alignment horizontal="left" vertical="top"/>
    </xf>
    <xf numFmtId="0" fontId="8" fillId="0" borderId="3" xfId="0" applyFont="1" applyBorder="1" applyAlignment="1">
      <alignment horizontal="left" vertical="top" wrapText="1"/>
    </xf>
    <xf numFmtId="0" fontId="9" fillId="0" borderId="3" xfId="0" applyFont="1" applyBorder="1" applyAlignment="1">
      <alignment horizontal="left" vertical="top" wrapText="1"/>
    </xf>
  </cellXfs>
  <cellStyles count="2">
    <cellStyle name="Normal" xfId="0" builtinId="0"/>
    <cellStyle name="Normal 3" xfId="1"/>
  </cellStyles>
  <dxfs count="0"/>
  <tableStyles count="0" defaultTableStyle="TableStyleMedium2" defaultPivotStyle="PivotStyleLight16"/>
  <colors>
    <mruColors>
      <color rgb="FFFF66CC"/>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BE/Customer/ABE_MRD_CIF_V1.10%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DocControl"/>
      <sheetName val="Summary"/>
      <sheetName val="Sheet1"/>
      <sheetName val="MRD"/>
      <sheetName val="Req Analysis"/>
      <sheetName val="Document Types"/>
      <sheetName val="Retail CIF Field List"/>
      <sheetName val="Corporate CIF Field List"/>
      <sheetName val="List"/>
    </sheetNames>
    <sheetDataSet>
      <sheetData sheetId="0"/>
      <sheetData sheetId="1"/>
      <sheetData sheetId="2"/>
      <sheetData sheetId="3"/>
      <sheetData sheetId="4"/>
      <sheetData sheetId="5"/>
      <sheetData sheetId="6"/>
      <sheetData sheetId="7"/>
      <sheetData sheetId="8"/>
      <sheetData sheetId="9">
        <row r="2">
          <cell r="A2" t="str">
            <v>Accounting Requirement</v>
          </cell>
        </row>
        <row r="3">
          <cell r="A3" t="str">
            <v>Business Process Requirement</v>
          </cell>
        </row>
        <row r="4">
          <cell r="A4" t="str">
            <v>Business Requirement</v>
          </cell>
        </row>
        <row r="5">
          <cell r="A5" t="str">
            <v>Channel Requirement</v>
          </cell>
        </row>
        <row r="6">
          <cell r="A6" t="str">
            <v>Client Communication Requirement</v>
          </cell>
        </row>
        <row r="7">
          <cell r="A7" t="str">
            <v>Compliance &amp; Regulatory</v>
          </cell>
        </row>
        <row r="8">
          <cell r="A8" t="str">
            <v>Non-Functional Requirement- NFR</v>
          </cell>
        </row>
        <row r="9">
          <cell r="A9" t="str">
            <v>Report Requirement</v>
          </cell>
        </row>
        <row r="10">
          <cell r="A10" t="str">
            <v>User Interface Requirement</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54"/>
  <sheetViews>
    <sheetView tabSelected="1" zoomScale="80" zoomScaleNormal="80" workbookViewId="0">
      <pane ySplit="1" topLeftCell="A2" activePane="bottomLeft" state="frozen"/>
      <selection activeCell="N1" sqref="N1"/>
      <selection pane="bottomLeft" activeCell="G2" sqref="G2"/>
    </sheetView>
  </sheetViews>
  <sheetFormatPr defaultColWidth="8.88671875" defaultRowHeight="13.8"/>
  <cols>
    <col min="1" max="1" width="9" style="3" bestFit="1" customWidth="1"/>
    <col min="2" max="2" width="13.88671875" style="3" bestFit="1" customWidth="1"/>
    <col min="3" max="3" width="11.44140625" style="3" bestFit="1" customWidth="1"/>
    <col min="4" max="4" width="13.44140625" style="3" bestFit="1" customWidth="1"/>
    <col min="5" max="5" width="9.109375" style="3" bestFit="1" customWidth="1"/>
    <col min="6" max="6" width="7.5546875" style="3" bestFit="1" customWidth="1"/>
    <col min="7" max="7" width="81.33203125" style="3" customWidth="1"/>
    <col min="8" max="8" width="38.109375" style="3" bestFit="1" customWidth="1"/>
    <col min="9" max="9" width="77" style="3" customWidth="1"/>
    <col min="10" max="10" width="7.6640625" style="3" bestFit="1" customWidth="1"/>
    <col min="11" max="11" width="11" style="3" bestFit="1" customWidth="1"/>
    <col min="12" max="12" width="69.6640625" style="3" bestFit="1" customWidth="1"/>
    <col min="13" max="13" width="63.6640625" style="3" bestFit="1" customWidth="1"/>
    <col min="14" max="14" width="8.33203125" style="3" bestFit="1" customWidth="1"/>
    <col min="15" max="16384" width="8.88671875" style="3"/>
  </cols>
  <sheetData>
    <row r="1" spans="1:14">
      <c r="A1" s="6" t="s">
        <v>36</v>
      </c>
      <c r="B1" s="6" t="s">
        <v>0</v>
      </c>
      <c r="C1" s="6" t="s">
        <v>1</v>
      </c>
      <c r="D1" s="6" t="s">
        <v>2</v>
      </c>
      <c r="E1" s="6" t="s">
        <v>37</v>
      </c>
      <c r="F1" s="6" t="s">
        <v>51</v>
      </c>
      <c r="G1" s="6" t="s">
        <v>3</v>
      </c>
      <c r="H1" s="6" t="s">
        <v>4</v>
      </c>
      <c r="I1" s="6" t="s">
        <v>5</v>
      </c>
      <c r="J1" s="6" t="s">
        <v>6</v>
      </c>
      <c r="K1" s="6" t="s">
        <v>7</v>
      </c>
      <c r="L1" s="10" t="s">
        <v>8</v>
      </c>
      <c r="M1" s="6" t="s">
        <v>9</v>
      </c>
      <c r="N1" s="6" t="s">
        <v>38</v>
      </c>
    </row>
    <row r="2" spans="1:14" ht="276">
      <c r="A2" s="1" t="s">
        <v>10</v>
      </c>
      <c r="B2" s="1" t="s">
        <v>10</v>
      </c>
      <c r="C2" s="1" t="s">
        <v>134</v>
      </c>
      <c r="D2" s="1" t="s">
        <v>67</v>
      </c>
      <c r="E2" s="1" t="s">
        <v>56</v>
      </c>
      <c r="F2" s="1">
        <v>1</v>
      </c>
      <c r="G2" s="1" t="s">
        <v>214</v>
      </c>
      <c r="H2" s="1" t="s">
        <v>179</v>
      </c>
      <c r="I2" s="1" t="s">
        <v>180</v>
      </c>
      <c r="J2" s="1" t="s">
        <v>11</v>
      </c>
      <c r="K2" s="1" t="s">
        <v>26</v>
      </c>
      <c r="L2" s="8" t="s">
        <v>52</v>
      </c>
      <c r="M2" s="1" t="s">
        <v>39</v>
      </c>
      <c r="N2" s="1"/>
    </row>
    <row r="3" spans="1:14">
      <c r="A3" s="1"/>
      <c r="B3" s="1"/>
      <c r="C3" s="1"/>
      <c r="D3" s="1"/>
      <c r="E3" s="1"/>
      <c r="F3" s="1">
        <f>IF(G3&lt;&gt;"",F2+1,F2)</f>
        <v>1</v>
      </c>
      <c r="G3" s="1"/>
      <c r="H3" s="1"/>
      <c r="I3" s="1"/>
      <c r="J3" s="1"/>
      <c r="K3" s="1"/>
      <c r="L3" s="8" t="s">
        <v>181</v>
      </c>
      <c r="M3" s="1" t="s">
        <v>69</v>
      </c>
      <c r="N3" s="1"/>
    </row>
    <row r="4" spans="1:14" ht="96.6">
      <c r="A4" s="1"/>
      <c r="B4" s="1"/>
      <c r="C4" s="1"/>
      <c r="D4" s="1"/>
      <c r="E4" s="1"/>
      <c r="F4" s="1">
        <f t="shared" ref="F4:F67" si="0">IF(G4&lt;&gt;"",F3+1,F3)</f>
        <v>1</v>
      </c>
      <c r="G4" s="1"/>
      <c r="H4" s="1"/>
      <c r="I4" s="1"/>
      <c r="J4" s="1"/>
      <c r="K4" s="1"/>
      <c r="L4" s="8" t="s">
        <v>148</v>
      </c>
      <c r="M4" s="1" t="s">
        <v>149</v>
      </c>
      <c r="N4" s="1"/>
    </row>
    <row r="5" spans="1:14" ht="220.8">
      <c r="A5" s="1"/>
      <c r="B5" s="1"/>
      <c r="C5" s="1"/>
      <c r="D5" s="1"/>
      <c r="E5" s="1"/>
      <c r="F5" s="1">
        <f t="shared" si="0"/>
        <v>1</v>
      </c>
      <c r="G5" s="1"/>
      <c r="H5" s="1"/>
      <c r="I5" s="1"/>
      <c r="J5" s="1"/>
      <c r="K5" s="1"/>
      <c r="L5" s="8" t="s">
        <v>156</v>
      </c>
      <c r="M5" s="1" t="s">
        <v>151</v>
      </c>
      <c r="N5" s="1"/>
    </row>
    <row r="6" spans="1:14" ht="69">
      <c r="A6" s="1"/>
      <c r="B6" s="1"/>
      <c r="C6" s="1"/>
      <c r="D6" s="1"/>
      <c r="E6" s="1"/>
      <c r="F6" s="1">
        <f t="shared" si="0"/>
        <v>1</v>
      </c>
      <c r="G6" s="1"/>
      <c r="H6" s="1"/>
      <c r="I6" s="1"/>
      <c r="J6" s="1"/>
      <c r="K6" s="1"/>
      <c r="L6" s="14" t="s">
        <v>143</v>
      </c>
      <c r="M6" s="7" t="s">
        <v>146</v>
      </c>
      <c r="N6" s="1"/>
    </row>
    <row r="7" spans="1:14" ht="27.6">
      <c r="A7" s="1"/>
      <c r="B7" s="1"/>
      <c r="C7" s="1"/>
      <c r="D7" s="1"/>
      <c r="E7" s="1"/>
      <c r="F7" s="1">
        <f t="shared" si="0"/>
        <v>1</v>
      </c>
      <c r="G7" s="1"/>
      <c r="H7" s="1"/>
      <c r="I7" s="1"/>
      <c r="J7" s="1"/>
      <c r="K7" s="1"/>
      <c r="L7" s="14" t="s">
        <v>71</v>
      </c>
      <c r="M7" s="7" t="s">
        <v>73</v>
      </c>
      <c r="N7" s="1"/>
    </row>
    <row r="8" spans="1:14" ht="55.2">
      <c r="A8" s="1"/>
      <c r="B8" s="1"/>
      <c r="C8" s="1"/>
      <c r="D8" s="1"/>
      <c r="E8" s="1"/>
      <c r="F8" s="1">
        <f t="shared" si="0"/>
        <v>1</v>
      </c>
      <c r="G8" s="1"/>
      <c r="H8" s="1"/>
      <c r="I8" s="1"/>
      <c r="J8" s="1"/>
      <c r="K8" s="1"/>
      <c r="L8" s="14" t="s">
        <v>70</v>
      </c>
      <c r="M8" s="7" t="s">
        <v>72</v>
      </c>
      <c r="N8" s="1"/>
    </row>
    <row r="9" spans="1:14" ht="207">
      <c r="A9" s="1"/>
      <c r="B9" s="1"/>
      <c r="C9" s="1"/>
      <c r="D9" s="1"/>
      <c r="E9" s="1"/>
      <c r="F9" s="1">
        <f t="shared" si="0"/>
        <v>1</v>
      </c>
      <c r="G9" s="1"/>
      <c r="H9" s="1"/>
      <c r="I9" s="1"/>
      <c r="J9" s="1"/>
      <c r="K9" s="1"/>
      <c r="L9" s="8" t="s">
        <v>152</v>
      </c>
      <c r="M9" s="1" t="s">
        <v>153</v>
      </c>
      <c r="N9" s="1"/>
    </row>
    <row r="10" spans="1:14" ht="82.8">
      <c r="A10" s="1"/>
      <c r="B10" s="1"/>
      <c r="C10" s="1"/>
      <c r="D10" s="1"/>
      <c r="E10" s="1"/>
      <c r="F10" s="1">
        <f t="shared" si="0"/>
        <v>1</v>
      </c>
      <c r="G10" s="1"/>
      <c r="H10" s="1"/>
      <c r="I10" s="1"/>
      <c r="J10" s="1"/>
      <c r="K10" s="1"/>
      <c r="L10" s="8" t="s">
        <v>182</v>
      </c>
      <c r="M10" s="1" t="s">
        <v>183</v>
      </c>
      <c r="N10" s="1"/>
    </row>
    <row r="11" spans="1:14" ht="276">
      <c r="A11" s="1"/>
      <c r="B11" s="1"/>
      <c r="C11" s="1"/>
      <c r="D11" s="1"/>
      <c r="E11" s="1"/>
      <c r="F11" s="1">
        <f t="shared" si="0"/>
        <v>1</v>
      </c>
      <c r="G11" s="1"/>
      <c r="H11" s="1"/>
      <c r="I11" s="1"/>
      <c r="J11" s="1"/>
      <c r="K11" s="1"/>
      <c r="L11" s="8" t="s">
        <v>174</v>
      </c>
      <c r="M11" s="1" t="s">
        <v>176</v>
      </c>
      <c r="N11" s="1"/>
    </row>
    <row r="12" spans="1:14">
      <c r="A12" s="1"/>
      <c r="B12" s="1"/>
      <c r="C12" s="1"/>
      <c r="D12" s="1"/>
      <c r="E12" s="1"/>
      <c r="F12" s="1">
        <f t="shared" si="0"/>
        <v>1</v>
      </c>
      <c r="G12" s="1"/>
      <c r="H12" s="1"/>
      <c r="I12" s="1"/>
      <c r="J12" s="1"/>
      <c r="K12" s="1"/>
      <c r="L12" s="19" t="s">
        <v>117</v>
      </c>
      <c r="M12" s="12" t="s">
        <v>118</v>
      </c>
      <c r="N12" s="1"/>
    </row>
    <row r="13" spans="1:14">
      <c r="A13" s="1"/>
      <c r="B13" s="1"/>
      <c r="C13" s="1"/>
      <c r="D13" s="1"/>
      <c r="E13" s="1"/>
      <c r="F13" s="1">
        <f t="shared" si="0"/>
        <v>1</v>
      </c>
      <c r="G13" s="1"/>
      <c r="H13" s="1"/>
      <c r="I13" s="1"/>
      <c r="J13" s="1"/>
      <c r="K13" s="1"/>
      <c r="L13" s="14" t="s">
        <v>55</v>
      </c>
      <c r="M13" s="1" t="s">
        <v>43</v>
      </c>
      <c r="N13" s="1"/>
    </row>
    <row r="14" spans="1:14">
      <c r="A14" s="1"/>
      <c r="B14" s="1"/>
      <c r="C14" s="1"/>
      <c r="D14" s="1"/>
      <c r="E14" s="1"/>
      <c r="F14" s="1">
        <f t="shared" si="0"/>
        <v>1</v>
      </c>
      <c r="G14" s="1"/>
      <c r="H14" s="1"/>
      <c r="I14" s="1"/>
      <c r="J14" s="1"/>
      <c r="K14" s="1"/>
      <c r="L14" s="8" t="s">
        <v>55</v>
      </c>
      <c r="M14" s="1" t="s">
        <v>44</v>
      </c>
      <c r="N14" s="1"/>
    </row>
    <row r="15" spans="1:14" ht="69">
      <c r="A15" s="1"/>
      <c r="B15" s="1"/>
      <c r="C15" s="1"/>
      <c r="D15" s="1"/>
      <c r="E15" s="1"/>
      <c r="F15" s="1">
        <f t="shared" si="0"/>
        <v>1</v>
      </c>
      <c r="G15" s="1"/>
      <c r="H15" s="1"/>
      <c r="I15" s="1"/>
      <c r="J15" s="1"/>
      <c r="K15" s="1"/>
      <c r="L15" s="8" t="s">
        <v>161</v>
      </c>
      <c r="M15" s="1" t="s">
        <v>160</v>
      </c>
      <c r="N15" s="1"/>
    </row>
    <row r="16" spans="1:14">
      <c r="A16" s="1"/>
      <c r="B16" s="1"/>
      <c r="C16" s="1"/>
      <c r="D16" s="1"/>
      <c r="E16" s="1"/>
      <c r="F16" s="1">
        <f t="shared" si="0"/>
        <v>1</v>
      </c>
      <c r="G16" s="1"/>
      <c r="H16" s="1"/>
      <c r="I16" s="1"/>
      <c r="J16" s="1"/>
      <c r="K16" s="1"/>
      <c r="L16" s="8" t="s">
        <v>14</v>
      </c>
      <c r="M16" s="1" t="s">
        <v>76</v>
      </c>
      <c r="N16" s="1"/>
    </row>
    <row r="17" spans="1:14" ht="276">
      <c r="A17" s="1" t="s">
        <v>10</v>
      </c>
      <c r="B17" s="1" t="s">
        <v>10</v>
      </c>
      <c r="C17" s="1" t="s">
        <v>125</v>
      </c>
      <c r="D17" s="1" t="s">
        <v>67</v>
      </c>
      <c r="E17" s="1" t="s">
        <v>56</v>
      </c>
      <c r="F17" s="1">
        <f>IF(G17&lt;&gt;"",F16+1,F16)</f>
        <v>2</v>
      </c>
      <c r="G17" s="1" t="s">
        <v>215</v>
      </c>
      <c r="H17" s="1" t="s">
        <v>184</v>
      </c>
      <c r="I17" s="1" t="s">
        <v>185</v>
      </c>
      <c r="J17" s="1" t="s">
        <v>15</v>
      </c>
      <c r="K17" s="1"/>
      <c r="L17" s="8" t="s">
        <v>12</v>
      </c>
      <c r="M17" s="1" t="s">
        <v>39</v>
      </c>
      <c r="N17" s="1"/>
    </row>
    <row r="18" spans="1:14">
      <c r="A18" s="1"/>
      <c r="B18" s="1"/>
      <c r="C18" s="1"/>
      <c r="D18" s="1"/>
      <c r="E18" s="1"/>
      <c r="F18" s="1">
        <f t="shared" si="0"/>
        <v>2</v>
      </c>
      <c r="G18" s="1"/>
      <c r="H18" s="1"/>
      <c r="I18" s="1"/>
      <c r="J18" s="1"/>
      <c r="K18" s="1"/>
      <c r="L18" s="8" t="s">
        <v>16</v>
      </c>
      <c r="M18" s="1" t="s">
        <v>45</v>
      </c>
      <c r="N18" s="1"/>
    </row>
    <row r="19" spans="1:14" ht="69">
      <c r="A19" s="1"/>
      <c r="B19" s="1"/>
      <c r="C19" s="1"/>
      <c r="D19" s="1"/>
      <c r="E19" s="1"/>
      <c r="F19" s="1">
        <f>IF(G19&lt;&gt;"",F18+1,F18)</f>
        <v>2</v>
      </c>
      <c r="G19" s="1"/>
      <c r="H19" s="1"/>
      <c r="I19" s="1"/>
      <c r="J19" s="1"/>
      <c r="K19" s="1"/>
      <c r="L19" s="8" t="s">
        <v>77</v>
      </c>
      <c r="M19" s="1" t="s">
        <v>13</v>
      </c>
      <c r="N19" s="1"/>
    </row>
    <row r="20" spans="1:14">
      <c r="A20" s="1"/>
      <c r="B20" s="1"/>
      <c r="C20" s="1"/>
      <c r="D20" s="1"/>
      <c r="E20" s="1"/>
      <c r="F20" s="1">
        <f t="shared" si="0"/>
        <v>2</v>
      </c>
      <c r="G20" s="1"/>
      <c r="H20" s="1"/>
      <c r="I20" s="1"/>
      <c r="J20" s="1"/>
      <c r="K20" s="1"/>
      <c r="L20" s="8" t="s">
        <v>18</v>
      </c>
      <c r="M20" s="1" t="s">
        <v>19</v>
      </c>
      <c r="N20" s="1"/>
    </row>
    <row r="21" spans="1:14" ht="27.6">
      <c r="A21" s="1"/>
      <c r="B21" s="1"/>
      <c r="C21" s="1"/>
      <c r="D21" s="1"/>
      <c r="E21" s="1"/>
      <c r="F21" s="1">
        <f t="shared" si="0"/>
        <v>2</v>
      </c>
      <c r="G21" s="1"/>
      <c r="H21" s="1"/>
      <c r="I21" s="1"/>
      <c r="J21" s="1"/>
      <c r="K21" s="1"/>
      <c r="L21" s="8" t="s">
        <v>20</v>
      </c>
      <c r="M21" s="1" t="s">
        <v>79</v>
      </c>
      <c r="N21" s="1"/>
    </row>
    <row r="22" spans="1:14" ht="82.8">
      <c r="A22" s="1"/>
      <c r="B22" s="1"/>
      <c r="C22" s="1"/>
      <c r="D22" s="1"/>
      <c r="E22" s="1"/>
      <c r="F22" s="1">
        <f t="shared" si="0"/>
        <v>2</v>
      </c>
      <c r="G22" s="1"/>
      <c r="H22" s="1"/>
      <c r="I22" s="1"/>
      <c r="J22" s="1"/>
      <c r="K22" s="1"/>
      <c r="L22" s="8" t="s">
        <v>80</v>
      </c>
      <c r="M22" s="1" t="s">
        <v>78</v>
      </c>
      <c r="N22" s="1"/>
    </row>
    <row r="23" spans="1:14">
      <c r="A23" s="1"/>
      <c r="B23" s="1"/>
      <c r="C23" s="1"/>
      <c r="D23" s="1"/>
      <c r="E23" s="1"/>
      <c r="F23" s="1">
        <f t="shared" si="0"/>
        <v>2</v>
      </c>
      <c r="G23" s="1"/>
      <c r="H23" s="1"/>
      <c r="I23" s="1"/>
      <c r="J23" s="1"/>
      <c r="K23" s="1"/>
      <c r="L23" s="8" t="s">
        <v>21</v>
      </c>
      <c r="M23" s="1" t="s">
        <v>53</v>
      </c>
      <c r="N23" s="1"/>
    </row>
    <row r="24" spans="1:14" ht="55.2">
      <c r="A24" s="1" t="s">
        <v>10</v>
      </c>
      <c r="B24" s="1" t="s">
        <v>22</v>
      </c>
      <c r="C24" s="1" t="s">
        <v>59</v>
      </c>
      <c r="D24" s="1" t="s">
        <v>24</v>
      </c>
      <c r="E24" s="1" t="s">
        <v>56</v>
      </c>
      <c r="F24" s="1">
        <f t="shared" si="0"/>
        <v>3</v>
      </c>
      <c r="G24" s="1" t="s">
        <v>135</v>
      </c>
      <c r="H24" s="1" t="s">
        <v>57</v>
      </c>
      <c r="I24" s="1" t="s">
        <v>58</v>
      </c>
      <c r="J24" s="1" t="s">
        <v>11</v>
      </c>
      <c r="K24" s="1" t="s">
        <v>54</v>
      </c>
      <c r="L24" s="8" t="s">
        <v>12</v>
      </c>
      <c r="M24" s="1" t="s">
        <v>39</v>
      </c>
      <c r="N24" s="1"/>
    </row>
    <row r="25" spans="1:14">
      <c r="A25" s="1"/>
      <c r="B25" s="1"/>
      <c r="C25" s="1"/>
      <c r="D25" s="1"/>
      <c r="E25" s="1"/>
      <c r="F25" s="1">
        <f t="shared" si="0"/>
        <v>3</v>
      </c>
      <c r="G25" s="1"/>
      <c r="H25" s="1"/>
      <c r="I25" s="1"/>
      <c r="J25" s="1"/>
      <c r="K25" s="1"/>
      <c r="L25" s="8" t="s">
        <v>181</v>
      </c>
      <c r="M25" s="1" t="s">
        <v>69</v>
      </c>
      <c r="N25" s="1"/>
    </row>
    <row r="26" spans="1:14" ht="96.6">
      <c r="A26" s="1"/>
      <c r="B26" s="1"/>
      <c r="C26" s="1"/>
      <c r="D26" s="1"/>
      <c r="E26" s="1"/>
      <c r="F26" s="1">
        <f t="shared" si="0"/>
        <v>3</v>
      </c>
      <c r="G26" s="1"/>
      <c r="H26" s="1"/>
      <c r="I26" s="1"/>
      <c r="J26" s="1"/>
      <c r="K26" s="1"/>
      <c r="L26" s="8" t="s">
        <v>163</v>
      </c>
      <c r="M26" s="1" t="s">
        <v>149</v>
      </c>
      <c r="N26" s="1"/>
    </row>
    <row r="27" spans="1:14" ht="178.2" customHeight="1">
      <c r="A27" s="1"/>
      <c r="B27" s="1"/>
      <c r="C27" s="1"/>
      <c r="D27" s="1"/>
      <c r="E27" s="1"/>
      <c r="F27" s="1">
        <f t="shared" si="0"/>
        <v>3</v>
      </c>
      <c r="G27" s="1"/>
      <c r="H27" s="1"/>
      <c r="I27" s="1"/>
      <c r="J27" s="1"/>
      <c r="K27" s="1"/>
      <c r="L27" s="8" t="s">
        <v>142</v>
      </c>
      <c r="M27" s="1" t="s">
        <v>164</v>
      </c>
      <c r="N27" s="1"/>
    </row>
    <row r="28" spans="1:14" ht="282.60000000000002" customHeight="1">
      <c r="A28" s="1"/>
      <c r="B28" s="1"/>
      <c r="C28" s="1"/>
      <c r="D28" s="1"/>
      <c r="E28" s="1"/>
      <c r="F28" s="1">
        <f t="shared" si="0"/>
        <v>3</v>
      </c>
      <c r="G28" s="1"/>
      <c r="H28" s="1"/>
      <c r="I28" s="1"/>
      <c r="J28" s="1"/>
      <c r="K28" s="1"/>
      <c r="L28" s="8" t="s">
        <v>144</v>
      </c>
      <c r="M28" s="1" t="s">
        <v>167</v>
      </c>
      <c r="N28" s="1"/>
    </row>
    <row r="29" spans="1:14" ht="41.4">
      <c r="A29" s="1"/>
      <c r="B29" s="1"/>
      <c r="C29" s="1"/>
      <c r="D29" s="1"/>
      <c r="E29" s="1"/>
      <c r="F29" s="1">
        <f t="shared" si="0"/>
        <v>3</v>
      </c>
      <c r="G29" s="1"/>
      <c r="H29" s="1"/>
      <c r="I29" s="1"/>
      <c r="J29" s="1"/>
      <c r="K29" s="1"/>
      <c r="L29" s="8" t="s">
        <v>81</v>
      </c>
      <c r="M29" s="1" t="s">
        <v>13</v>
      </c>
      <c r="N29" s="1"/>
    </row>
    <row r="30" spans="1:14" ht="138">
      <c r="A30" s="1"/>
      <c r="B30" s="1"/>
      <c r="C30" s="1"/>
      <c r="D30" s="1"/>
      <c r="E30" s="1"/>
      <c r="F30" s="1">
        <f t="shared" si="0"/>
        <v>3</v>
      </c>
      <c r="G30" s="1"/>
      <c r="H30" s="1"/>
      <c r="I30" s="1"/>
      <c r="J30" s="1"/>
      <c r="K30" s="1"/>
      <c r="L30" s="8" t="s">
        <v>166</v>
      </c>
      <c r="M30" s="1" t="s">
        <v>165</v>
      </c>
      <c r="N30" s="1"/>
    </row>
    <row r="31" spans="1:14" ht="55.2">
      <c r="A31" s="1"/>
      <c r="B31" s="1"/>
      <c r="C31" s="1"/>
      <c r="D31" s="1"/>
      <c r="E31" s="1"/>
      <c r="F31" s="1">
        <f t="shared" si="0"/>
        <v>3</v>
      </c>
      <c r="G31" s="1"/>
      <c r="H31" s="1"/>
      <c r="I31" s="1"/>
      <c r="J31" s="1"/>
      <c r="K31" s="1"/>
      <c r="L31" s="8" t="s">
        <v>41</v>
      </c>
      <c r="M31" s="1" t="s">
        <v>42</v>
      </c>
      <c r="N31" s="1"/>
    </row>
    <row r="32" spans="1:14" ht="234.6">
      <c r="A32" s="1"/>
      <c r="B32" s="1"/>
      <c r="C32" s="1"/>
      <c r="D32" s="1"/>
      <c r="E32" s="1"/>
      <c r="F32" s="1">
        <f t="shared" si="0"/>
        <v>3</v>
      </c>
      <c r="G32" s="1"/>
      <c r="H32" s="1"/>
      <c r="I32" s="1"/>
      <c r="J32" s="1"/>
      <c r="K32" s="1"/>
      <c r="L32" s="8" t="s">
        <v>169</v>
      </c>
      <c r="M32" s="1" t="s">
        <v>168</v>
      </c>
      <c r="N32" s="1"/>
    </row>
    <row r="33" spans="1:14" ht="82.8">
      <c r="A33" s="1"/>
      <c r="B33" s="1"/>
      <c r="C33" s="1"/>
      <c r="D33" s="1"/>
      <c r="E33" s="1"/>
      <c r="F33" s="1">
        <f t="shared" si="0"/>
        <v>3</v>
      </c>
      <c r="G33" s="1"/>
      <c r="H33" s="1"/>
      <c r="I33" s="1"/>
      <c r="J33" s="1"/>
      <c r="K33" s="1"/>
      <c r="L33" s="8" t="s">
        <v>182</v>
      </c>
      <c r="M33" s="1" t="s">
        <v>183</v>
      </c>
      <c r="N33" s="1"/>
    </row>
    <row r="34" spans="1:14" ht="276">
      <c r="A34" s="1"/>
      <c r="B34" s="1"/>
      <c r="C34" s="1"/>
      <c r="D34" s="1"/>
      <c r="E34" s="1"/>
      <c r="F34" s="1">
        <f t="shared" si="0"/>
        <v>3</v>
      </c>
      <c r="G34" s="1"/>
      <c r="H34" s="1"/>
      <c r="I34" s="1"/>
      <c r="J34" s="1"/>
      <c r="K34" s="1"/>
      <c r="L34" s="8" t="s">
        <v>174</v>
      </c>
      <c r="M34" s="1" t="s">
        <v>176</v>
      </c>
      <c r="N34" s="1"/>
    </row>
    <row r="35" spans="1:14">
      <c r="A35" s="1"/>
      <c r="B35" s="1"/>
      <c r="C35" s="1"/>
      <c r="D35" s="1"/>
      <c r="E35" s="1"/>
      <c r="F35" s="1">
        <f t="shared" si="0"/>
        <v>3</v>
      </c>
      <c r="G35" s="1"/>
      <c r="H35" s="1"/>
      <c r="I35" s="1"/>
      <c r="J35" s="1"/>
      <c r="K35" s="1"/>
      <c r="L35" s="14" t="s">
        <v>55</v>
      </c>
      <c r="M35" s="1" t="s">
        <v>43</v>
      </c>
      <c r="N35" s="1"/>
    </row>
    <row r="36" spans="1:14">
      <c r="A36" s="1"/>
      <c r="B36" s="1"/>
      <c r="C36" s="1"/>
      <c r="D36" s="1"/>
      <c r="E36" s="1"/>
      <c r="F36" s="1">
        <f t="shared" si="0"/>
        <v>3</v>
      </c>
      <c r="G36" s="1"/>
      <c r="H36" s="1"/>
      <c r="I36" s="1"/>
      <c r="J36" s="1"/>
      <c r="K36" s="1"/>
      <c r="L36" s="8" t="s">
        <v>55</v>
      </c>
      <c r="M36" s="1" t="s">
        <v>44</v>
      </c>
      <c r="N36" s="1"/>
    </row>
    <row r="37" spans="1:14" ht="69">
      <c r="A37" s="1"/>
      <c r="B37" s="1"/>
      <c r="C37" s="1"/>
      <c r="D37" s="1"/>
      <c r="E37" s="1"/>
      <c r="F37" s="1">
        <f t="shared" si="0"/>
        <v>3</v>
      </c>
      <c r="G37" s="1"/>
      <c r="H37" s="1"/>
      <c r="I37" s="1"/>
      <c r="J37" s="1"/>
      <c r="K37" s="1"/>
      <c r="L37" s="8" t="s">
        <v>161</v>
      </c>
      <c r="M37" s="1" t="s">
        <v>162</v>
      </c>
      <c r="N37" s="1"/>
    </row>
    <row r="38" spans="1:14">
      <c r="A38" s="1"/>
      <c r="B38" s="1"/>
      <c r="C38" s="1"/>
      <c r="D38" s="1"/>
      <c r="E38" s="1"/>
      <c r="F38" s="1">
        <f t="shared" si="0"/>
        <v>3</v>
      </c>
      <c r="G38" s="1"/>
      <c r="H38" s="1"/>
      <c r="I38" s="1"/>
      <c r="J38" s="1"/>
      <c r="K38" s="1"/>
      <c r="L38" s="8" t="s">
        <v>14</v>
      </c>
      <c r="M38" s="1" t="s">
        <v>76</v>
      </c>
      <c r="N38" s="1"/>
    </row>
    <row r="39" spans="1:14" ht="69">
      <c r="A39" s="1" t="s">
        <v>10</v>
      </c>
      <c r="B39" s="1" t="s">
        <v>22</v>
      </c>
      <c r="C39" s="1" t="s">
        <v>127</v>
      </c>
      <c r="D39" s="1" t="s">
        <v>24</v>
      </c>
      <c r="E39" s="1" t="s">
        <v>56</v>
      </c>
      <c r="F39" s="1">
        <f t="shared" si="0"/>
        <v>4</v>
      </c>
      <c r="G39" s="1" t="s">
        <v>136</v>
      </c>
      <c r="H39" s="1" t="s">
        <v>126</v>
      </c>
      <c r="I39" s="1" t="s">
        <v>60</v>
      </c>
      <c r="J39" s="1" t="s">
        <v>15</v>
      </c>
      <c r="K39" s="1"/>
      <c r="L39" s="8" t="s">
        <v>12</v>
      </c>
      <c r="M39" s="1" t="s">
        <v>39</v>
      </c>
      <c r="N39" s="1"/>
    </row>
    <row r="40" spans="1:14">
      <c r="A40" s="1"/>
      <c r="B40" s="1"/>
      <c r="C40" s="1"/>
      <c r="D40" s="1"/>
      <c r="E40" s="1"/>
      <c r="F40" s="1">
        <f t="shared" si="0"/>
        <v>4</v>
      </c>
      <c r="G40" s="1"/>
      <c r="H40" s="1"/>
      <c r="I40" s="1"/>
      <c r="J40" s="1"/>
      <c r="K40" s="1"/>
      <c r="L40" s="8" t="s">
        <v>16</v>
      </c>
      <c r="M40" s="1" t="s">
        <v>45</v>
      </c>
      <c r="N40" s="1"/>
    </row>
    <row r="41" spans="1:14" ht="69">
      <c r="A41" s="1"/>
      <c r="B41" s="1"/>
      <c r="C41" s="1"/>
      <c r="D41" s="1"/>
      <c r="E41" s="1"/>
      <c r="F41" s="1">
        <f t="shared" si="0"/>
        <v>4</v>
      </c>
      <c r="G41" s="1"/>
      <c r="H41" s="1"/>
      <c r="I41" s="1"/>
      <c r="J41" s="1"/>
      <c r="K41" s="1"/>
      <c r="L41" s="8" t="s">
        <v>17</v>
      </c>
      <c r="M41" s="1" t="s">
        <v>13</v>
      </c>
      <c r="N41" s="1"/>
    </row>
    <row r="42" spans="1:14">
      <c r="A42" s="1"/>
      <c r="B42" s="1"/>
      <c r="C42" s="1"/>
      <c r="D42" s="1"/>
      <c r="E42" s="1"/>
      <c r="F42" s="1">
        <f t="shared" si="0"/>
        <v>4</v>
      </c>
      <c r="G42" s="1"/>
      <c r="H42" s="1"/>
      <c r="I42" s="1"/>
      <c r="J42" s="1"/>
      <c r="K42" s="1"/>
      <c r="L42" s="8" t="s">
        <v>18</v>
      </c>
      <c r="M42" s="1" t="s">
        <v>19</v>
      </c>
      <c r="N42" s="1"/>
    </row>
    <row r="43" spans="1:14" ht="27.6">
      <c r="A43" s="1"/>
      <c r="B43" s="1"/>
      <c r="C43" s="1"/>
      <c r="D43" s="1"/>
      <c r="E43" s="1"/>
      <c r="F43" s="1">
        <f t="shared" si="0"/>
        <v>4</v>
      </c>
      <c r="G43" s="1"/>
      <c r="H43" s="1"/>
      <c r="I43" s="1"/>
      <c r="J43" s="1"/>
      <c r="K43" s="1"/>
      <c r="L43" s="8" t="s">
        <v>20</v>
      </c>
      <c r="M43" s="1" t="s">
        <v>92</v>
      </c>
      <c r="N43" s="1"/>
    </row>
    <row r="44" spans="1:14">
      <c r="A44" s="1"/>
      <c r="B44" s="1"/>
      <c r="C44" s="1"/>
      <c r="D44" s="1"/>
      <c r="E44" s="1"/>
      <c r="F44" s="1">
        <f t="shared" si="0"/>
        <v>4</v>
      </c>
      <c r="G44" s="1"/>
      <c r="H44" s="1"/>
      <c r="I44" s="1"/>
      <c r="J44" s="1"/>
      <c r="K44" s="1"/>
      <c r="L44" s="8" t="s">
        <v>21</v>
      </c>
      <c r="M44" s="1" t="s">
        <v>53</v>
      </c>
      <c r="N44" s="1"/>
    </row>
    <row r="45" spans="1:14" ht="27.6">
      <c r="A45" s="1" t="s">
        <v>10</v>
      </c>
      <c r="B45" s="1" t="s">
        <v>10</v>
      </c>
      <c r="C45" s="7" t="s">
        <v>23</v>
      </c>
      <c r="D45" s="1" t="s">
        <v>24</v>
      </c>
      <c r="E45" s="1" t="s">
        <v>102</v>
      </c>
      <c r="F45" s="1">
        <f t="shared" si="0"/>
        <v>5</v>
      </c>
      <c r="G45" s="1" t="s">
        <v>216</v>
      </c>
      <c r="H45" s="1" t="s">
        <v>25</v>
      </c>
      <c r="I45" s="1" t="s">
        <v>46</v>
      </c>
      <c r="J45" s="1" t="s">
        <v>11</v>
      </c>
      <c r="K45" s="1" t="s">
        <v>26</v>
      </c>
      <c r="L45" s="8" t="s">
        <v>12</v>
      </c>
      <c r="M45" s="1" t="s">
        <v>39</v>
      </c>
      <c r="N45" s="1"/>
    </row>
    <row r="46" spans="1:14">
      <c r="A46" s="1"/>
      <c r="B46" s="1"/>
      <c r="C46" s="1"/>
      <c r="D46" s="1"/>
      <c r="E46" s="1"/>
      <c r="F46" s="1">
        <f t="shared" si="0"/>
        <v>5</v>
      </c>
      <c r="G46" s="1"/>
      <c r="H46" s="1"/>
      <c r="I46" s="1"/>
      <c r="J46" s="1"/>
      <c r="K46" s="1"/>
      <c r="L46" s="8" t="s">
        <v>186</v>
      </c>
      <c r="M46" s="1" t="s">
        <v>47</v>
      </c>
      <c r="N46" s="1"/>
    </row>
    <row r="47" spans="1:14" ht="55.2">
      <c r="A47" s="1"/>
      <c r="B47" s="1"/>
      <c r="C47" s="1"/>
      <c r="D47" s="1"/>
      <c r="E47" s="1"/>
      <c r="F47" s="1">
        <f t="shared" si="0"/>
        <v>5</v>
      </c>
      <c r="G47" s="1"/>
      <c r="H47" s="1"/>
      <c r="I47" s="1"/>
      <c r="J47" s="1"/>
      <c r="K47" s="1"/>
      <c r="L47" s="8" t="s">
        <v>82</v>
      </c>
      <c r="M47" s="1" t="s">
        <v>84</v>
      </c>
      <c r="N47" s="1"/>
    </row>
    <row r="48" spans="1:14" ht="41.4">
      <c r="A48" s="1"/>
      <c r="B48" s="1"/>
      <c r="C48" s="1"/>
      <c r="D48" s="1"/>
      <c r="E48" s="1"/>
      <c r="F48" s="1">
        <f t="shared" si="0"/>
        <v>5</v>
      </c>
      <c r="G48" s="1"/>
      <c r="H48" s="1"/>
      <c r="I48" s="1"/>
      <c r="J48" s="1"/>
      <c r="K48" s="1"/>
      <c r="L48" s="8" t="s">
        <v>83</v>
      </c>
      <c r="M48" s="1" t="s">
        <v>85</v>
      </c>
      <c r="N48" s="1"/>
    </row>
    <row r="49" spans="1:14" ht="27.6">
      <c r="A49" s="1" t="s">
        <v>10</v>
      </c>
      <c r="B49" s="1" t="s">
        <v>10</v>
      </c>
      <c r="C49" s="1" t="s">
        <v>23</v>
      </c>
      <c r="D49" s="1" t="s">
        <v>24</v>
      </c>
      <c r="E49" s="1" t="s">
        <v>102</v>
      </c>
      <c r="F49" s="1">
        <f t="shared" si="0"/>
        <v>6</v>
      </c>
      <c r="G49" s="1" t="s">
        <v>217</v>
      </c>
      <c r="H49" s="1" t="s">
        <v>27</v>
      </c>
      <c r="I49" s="1" t="s">
        <v>49</v>
      </c>
      <c r="J49" s="1" t="s">
        <v>11</v>
      </c>
      <c r="K49" s="1" t="s">
        <v>30</v>
      </c>
      <c r="L49" s="8" t="s">
        <v>12</v>
      </c>
      <c r="M49" s="1" t="s">
        <v>39</v>
      </c>
      <c r="N49" s="1"/>
    </row>
    <row r="50" spans="1:14">
      <c r="A50" s="1"/>
      <c r="B50" s="1"/>
      <c r="C50" s="1"/>
      <c r="D50" s="1"/>
      <c r="E50" s="1"/>
      <c r="F50" s="1">
        <f t="shared" si="0"/>
        <v>6</v>
      </c>
      <c r="G50" s="1"/>
      <c r="H50" s="1"/>
      <c r="I50" s="1"/>
      <c r="J50" s="1"/>
      <c r="K50" s="1"/>
      <c r="L50" s="8" t="s">
        <v>186</v>
      </c>
      <c r="M50" s="1" t="s">
        <v>47</v>
      </c>
      <c r="N50" s="1"/>
    </row>
    <row r="51" spans="1:14" ht="55.2">
      <c r="A51" s="1"/>
      <c r="B51" s="1"/>
      <c r="C51" s="1"/>
      <c r="D51" s="1"/>
      <c r="E51" s="1"/>
      <c r="F51" s="1">
        <f t="shared" si="0"/>
        <v>6</v>
      </c>
      <c r="G51" s="1"/>
      <c r="H51" s="1"/>
      <c r="I51" s="1"/>
      <c r="J51" s="1"/>
      <c r="K51" s="1"/>
      <c r="L51" s="8" t="s">
        <v>82</v>
      </c>
      <c r="M51" s="1" t="s">
        <v>84</v>
      </c>
      <c r="N51" s="1"/>
    </row>
    <row r="52" spans="1:14" ht="41.4">
      <c r="A52" s="1"/>
      <c r="B52" s="1"/>
      <c r="C52" s="1"/>
      <c r="D52" s="1"/>
      <c r="E52" s="1"/>
      <c r="F52" s="1">
        <f t="shared" si="0"/>
        <v>6</v>
      </c>
      <c r="G52" s="1"/>
      <c r="H52" s="1"/>
      <c r="I52" s="1"/>
      <c r="J52" s="1"/>
      <c r="K52" s="1"/>
      <c r="L52" s="8" t="s">
        <v>83</v>
      </c>
      <c r="M52" s="1" t="s">
        <v>85</v>
      </c>
      <c r="N52" s="1"/>
    </row>
    <row r="53" spans="1:14" ht="41.4">
      <c r="A53" s="1" t="s">
        <v>10</v>
      </c>
      <c r="B53" s="1" t="s">
        <v>10</v>
      </c>
      <c r="C53" s="1" t="s">
        <v>23</v>
      </c>
      <c r="D53" s="1" t="s">
        <v>24</v>
      </c>
      <c r="E53" s="1" t="s">
        <v>102</v>
      </c>
      <c r="F53" s="1">
        <f t="shared" si="0"/>
        <v>7</v>
      </c>
      <c r="G53" s="1" t="s">
        <v>218</v>
      </c>
      <c r="H53" s="1" t="s">
        <v>28</v>
      </c>
      <c r="I53" s="1" t="s">
        <v>46</v>
      </c>
      <c r="J53" s="1" t="s">
        <v>11</v>
      </c>
      <c r="K53" s="1" t="s">
        <v>61</v>
      </c>
      <c r="L53" s="8" t="s">
        <v>12</v>
      </c>
      <c r="M53" s="1" t="s">
        <v>39</v>
      </c>
      <c r="N53" s="1"/>
    </row>
    <row r="54" spans="1:14">
      <c r="A54" s="1"/>
      <c r="B54" s="1"/>
      <c r="C54" s="1"/>
      <c r="D54" s="1"/>
      <c r="E54" s="1"/>
      <c r="F54" s="1">
        <f t="shared" si="0"/>
        <v>7</v>
      </c>
      <c r="G54" s="1"/>
      <c r="H54" s="1"/>
      <c r="I54" s="1"/>
      <c r="J54" s="1"/>
      <c r="K54" s="1"/>
      <c r="L54" s="8" t="s">
        <v>186</v>
      </c>
      <c r="M54" s="1" t="s">
        <v>47</v>
      </c>
      <c r="N54" s="1"/>
    </row>
    <row r="55" spans="1:14" ht="55.2">
      <c r="A55" s="1"/>
      <c r="B55" s="1"/>
      <c r="C55" s="1"/>
      <c r="D55" s="1"/>
      <c r="E55" s="1"/>
      <c r="F55" s="1">
        <f t="shared" si="0"/>
        <v>7</v>
      </c>
      <c r="G55" s="1"/>
      <c r="H55" s="1"/>
      <c r="I55" s="1"/>
      <c r="J55" s="1"/>
      <c r="K55" s="1"/>
      <c r="L55" s="8" t="s">
        <v>82</v>
      </c>
      <c r="M55" s="1" t="s">
        <v>84</v>
      </c>
      <c r="N55" s="1"/>
    </row>
    <row r="56" spans="1:14" ht="41.4">
      <c r="A56" s="1"/>
      <c r="B56" s="1"/>
      <c r="C56" s="1"/>
      <c r="D56" s="1"/>
      <c r="E56" s="1"/>
      <c r="F56" s="1">
        <f t="shared" si="0"/>
        <v>7</v>
      </c>
      <c r="G56" s="1"/>
      <c r="H56" s="1"/>
      <c r="I56" s="1"/>
      <c r="J56" s="1"/>
      <c r="K56" s="1"/>
      <c r="L56" s="8" t="s">
        <v>83</v>
      </c>
      <c r="M56" s="1" t="s">
        <v>85</v>
      </c>
      <c r="N56" s="1"/>
    </row>
    <row r="57" spans="1:14" s="11" customFormat="1" ht="41.4">
      <c r="A57" s="7" t="s">
        <v>10</v>
      </c>
      <c r="B57" s="7" t="s">
        <v>10</v>
      </c>
      <c r="C57" s="13" t="s">
        <v>29</v>
      </c>
      <c r="D57" s="7" t="s">
        <v>24</v>
      </c>
      <c r="E57" s="7" t="s">
        <v>56</v>
      </c>
      <c r="F57" s="1">
        <f t="shared" si="0"/>
        <v>8</v>
      </c>
      <c r="G57" s="7" t="s">
        <v>219</v>
      </c>
      <c r="H57" s="7" t="s">
        <v>68</v>
      </c>
      <c r="I57" s="7" t="s">
        <v>187</v>
      </c>
      <c r="J57" s="7" t="s">
        <v>11</v>
      </c>
      <c r="K57" s="7" t="s">
        <v>48</v>
      </c>
      <c r="L57" s="14" t="s">
        <v>52</v>
      </c>
      <c r="M57" s="7" t="s">
        <v>39</v>
      </c>
      <c r="N57" s="7"/>
    </row>
    <row r="58" spans="1:14" s="11" customFormat="1">
      <c r="A58" s="7"/>
      <c r="B58" s="7"/>
      <c r="C58" s="13"/>
      <c r="D58" s="7"/>
      <c r="E58" s="7"/>
      <c r="F58" s="1">
        <f t="shared" si="0"/>
        <v>8</v>
      </c>
      <c r="G58" s="7"/>
      <c r="H58" s="7"/>
      <c r="I58" s="7"/>
      <c r="J58" s="7"/>
      <c r="K58" s="7"/>
      <c r="L58" s="14" t="s">
        <v>181</v>
      </c>
      <c r="M58" s="7" t="s">
        <v>69</v>
      </c>
      <c r="N58" s="7"/>
    </row>
    <row r="59" spans="1:14" s="11" customFormat="1" ht="82.8">
      <c r="A59" s="7"/>
      <c r="B59" s="7"/>
      <c r="C59" s="7"/>
      <c r="D59" s="7"/>
      <c r="E59" s="7"/>
      <c r="F59" s="1">
        <f t="shared" si="0"/>
        <v>8</v>
      </c>
      <c r="G59" s="7"/>
      <c r="H59" s="7"/>
      <c r="I59" s="7"/>
      <c r="J59" s="7"/>
      <c r="K59" s="7"/>
      <c r="L59" s="14" t="s">
        <v>170</v>
      </c>
      <c r="M59" s="7" t="s">
        <v>40</v>
      </c>
      <c r="N59" s="7"/>
    </row>
    <row r="60" spans="1:14" s="11" customFormat="1" ht="220.8">
      <c r="A60" s="7"/>
      <c r="B60" s="7"/>
      <c r="C60" s="7"/>
      <c r="D60" s="7"/>
      <c r="E60" s="7"/>
      <c r="F60" s="1">
        <f t="shared" si="0"/>
        <v>8</v>
      </c>
      <c r="G60" s="7"/>
      <c r="H60" s="7"/>
      <c r="I60" s="7"/>
      <c r="J60" s="7"/>
      <c r="K60" s="7"/>
      <c r="L60" s="8" t="s">
        <v>157</v>
      </c>
      <c r="M60" s="1" t="s">
        <v>159</v>
      </c>
      <c r="N60" s="7"/>
    </row>
    <row r="61" spans="1:14" s="11" customFormat="1" ht="69">
      <c r="A61" s="7"/>
      <c r="B61" s="7"/>
      <c r="C61" s="7"/>
      <c r="D61" s="7"/>
      <c r="E61" s="7"/>
      <c r="F61" s="1">
        <f t="shared" si="0"/>
        <v>8</v>
      </c>
      <c r="G61" s="7"/>
      <c r="H61" s="7"/>
      <c r="I61" s="7"/>
      <c r="J61" s="7"/>
      <c r="K61" s="7"/>
      <c r="L61" s="14" t="s">
        <v>145</v>
      </c>
      <c r="M61" s="7" t="s">
        <v>146</v>
      </c>
      <c r="N61" s="7"/>
    </row>
    <row r="62" spans="1:14" s="11" customFormat="1" ht="27.6">
      <c r="A62" s="7"/>
      <c r="B62" s="7"/>
      <c r="C62" s="7"/>
      <c r="D62" s="7"/>
      <c r="E62" s="7"/>
      <c r="F62" s="1">
        <f t="shared" si="0"/>
        <v>8</v>
      </c>
      <c r="G62" s="7"/>
      <c r="H62" s="7"/>
      <c r="I62" s="7"/>
      <c r="J62" s="7"/>
      <c r="K62" s="7"/>
      <c r="L62" s="14" t="s">
        <v>71</v>
      </c>
      <c r="M62" s="7" t="s">
        <v>91</v>
      </c>
      <c r="N62" s="7"/>
    </row>
    <row r="63" spans="1:14" s="11" customFormat="1" ht="138">
      <c r="A63" s="7"/>
      <c r="B63" s="7"/>
      <c r="C63" s="7"/>
      <c r="D63" s="7"/>
      <c r="E63" s="7"/>
      <c r="F63" s="1">
        <f t="shared" si="0"/>
        <v>8</v>
      </c>
      <c r="G63" s="7"/>
      <c r="H63" s="7"/>
      <c r="I63" s="7"/>
      <c r="J63" s="7"/>
      <c r="K63" s="7"/>
      <c r="L63" s="8" t="s">
        <v>172</v>
      </c>
      <c r="M63" s="1" t="s">
        <v>165</v>
      </c>
      <c r="N63" s="7"/>
    </row>
    <row r="64" spans="1:14" s="11" customFormat="1" ht="41.4">
      <c r="A64" s="7"/>
      <c r="B64" s="7"/>
      <c r="C64" s="7"/>
      <c r="D64" s="7"/>
      <c r="E64" s="7"/>
      <c r="F64" s="1">
        <f t="shared" si="0"/>
        <v>8</v>
      </c>
      <c r="G64" s="7"/>
      <c r="H64" s="7"/>
      <c r="I64" s="7"/>
      <c r="J64" s="7"/>
      <c r="K64" s="7"/>
      <c r="L64" s="14" t="s">
        <v>70</v>
      </c>
      <c r="M64" s="7" t="s">
        <v>171</v>
      </c>
      <c r="N64" s="7"/>
    </row>
    <row r="65" spans="1:14" s="11" customFormat="1" ht="207">
      <c r="A65" s="7"/>
      <c r="B65" s="7"/>
      <c r="C65" s="7"/>
      <c r="D65" s="7"/>
      <c r="E65" s="7"/>
      <c r="F65" s="1">
        <f t="shared" si="0"/>
        <v>8</v>
      </c>
      <c r="G65" s="7"/>
      <c r="H65" s="7"/>
      <c r="I65" s="7"/>
      <c r="J65" s="7"/>
      <c r="K65" s="7"/>
      <c r="L65" s="8" t="s">
        <v>152</v>
      </c>
      <c r="M65" s="1" t="s">
        <v>153</v>
      </c>
      <c r="N65" s="7"/>
    </row>
    <row r="66" spans="1:14" s="11" customFormat="1" ht="82.8">
      <c r="A66" s="7"/>
      <c r="B66" s="7"/>
      <c r="C66" s="7"/>
      <c r="D66" s="7"/>
      <c r="E66" s="7"/>
      <c r="F66" s="1">
        <f t="shared" si="0"/>
        <v>8</v>
      </c>
      <c r="G66" s="7"/>
      <c r="H66" s="7"/>
      <c r="I66" s="7"/>
      <c r="J66" s="7"/>
      <c r="K66" s="7"/>
      <c r="L66" s="14" t="s">
        <v>182</v>
      </c>
      <c r="M66" s="7" t="s">
        <v>183</v>
      </c>
      <c r="N66" s="7"/>
    </row>
    <row r="67" spans="1:14" s="11" customFormat="1" ht="276">
      <c r="A67" s="7"/>
      <c r="B67" s="7"/>
      <c r="C67" s="7"/>
      <c r="D67" s="7"/>
      <c r="E67" s="7"/>
      <c r="F67" s="1">
        <f t="shared" si="0"/>
        <v>8</v>
      </c>
      <c r="G67" s="7"/>
      <c r="H67" s="7"/>
      <c r="I67" s="7"/>
      <c r="J67" s="7"/>
      <c r="K67" s="7"/>
      <c r="L67" s="8" t="s">
        <v>174</v>
      </c>
      <c r="M67" s="1" t="s">
        <v>173</v>
      </c>
      <c r="N67" s="7"/>
    </row>
    <row r="68" spans="1:14" s="11" customFormat="1">
      <c r="A68" s="7"/>
      <c r="B68" s="7"/>
      <c r="C68" s="7"/>
      <c r="D68" s="7"/>
      <c r="E68" s="7"/>
      <c r="F68" s="1">
        <f t="shared" ref="F68:F131" si="1">IF(G68&lt;&gt;"",F67+1,F67)</f>
        <v>8</v>
      </c>
      <c r="G68" s="7"/>
      <c r="H68" s="7"/>
      <c r="I68" s="7"/>
      <c r="J68" s="7"/>
      <c r="K68" s="7"/>
      <c r="L68" s="14" t="s">
        <v>55</v>
      </c>
      <c r="M68" s="7" t="s">
        <v>43</v>
      </c>
      <c r="N68" s="7"/>
    </row>
    <row r="69" spans="1:14" s="11" customFormat="1">
      <c r="A69" s="7"/>
      <c r="B69" s="7"/>
      <c r="C69" s="7"/>
      <c r="D69" s="7"/>
      <c r="E69" s="7"/>
      <c r="F69" s="1">
        <f t="shared" si="1"/>
        <v>8</v>
      </c>
      <c r="G69" s="7"/>
      <c r="H69" s="7"/>
      <c r="I69" s="7"/>
      <c r="J69" s="7"/>
      <c r="K69" s="7"/>
      <c r="L69" s="14" t="s">
        <v>55</v>
      </c>
      <c r="M69" s="7" t="s">
        <v>44</v>
      </c>
      <c r="N69" s="7"/>
    </row>
    <row r="70" spans="1:14" s="11" customFormat="1" ht="69">
      <c r="A70" s="7"/>
      <c r="B70" s="7"/>
      <c r="C70" s="7"/>
      <c r="D70" s="7"/>
      <c r="E70" s="7"/>
      <c r="F70" s="1">
        <f t="shared" si="1"/>
        <v>8</v>
      </c>
      <c r="G70" s="7"/>
      <c r="H70" s="7"/>
      <c r="I70" s="7"/>
      <c r="J70" s="7"/>
      <c r="K70" s="7"/>
      <c r="L70" s="8" t="s">
        <v>161</v>
      </c>
      <c r="M70" s="1" t="s">
        <v>160</v>
      </c>
      <c r="N70" s="7"/>
    </row>
    <row r="71" spans="1:14" s="11" customFormat="1">
      <c r="A71" s="7"/>
      <c r="B71" s="7"/>
      <c r="C71" s="7"/>
      <c r="D71" s="7"/>
      <c r="E71" s="7"/>
      <c r="F71" s="1">
        <f t="shared" si="1"/>
        <v>8</v>
      </c>
      <c r="G71" s="7"/>
      <c r="H71" s="7"/>
      <c r="I71" s="7"/>
      <c r="J71" s="7"/>
      <c r="K71" s="7"/>
      <c r="L71" s="14" t="s">
        <v>14</v>
      </c>
      <c r="M71" s="7" t="s">
        <v>76</v>
      </c>
      <c r="N71" s="7"/>
    </row>
    <row r="72" spans="1:14" s="11" customFormat="1" ht="55.2">
      <c r="A72" s="7" t="s">
        <v>10</v>
      </c>
      <c r="B72" s="7" t="s">
        <v>10</v>
      </c>
      <c r="C72" s="13" t="s">
        <v>128</v>
      </c>
      <c r="D72" s="7" t="s">
        <v>24</v>
      </c>
      <c r="E72" s="7" t="s">
        <v>56</v>
      </c>
      <c r="F72" s="1">
        <f t="shared" si="1"/>
        <v>9</v>
      </c>
      <c r="G72" s="7" t="s">
        <v>220</v>
      </c>
      <c r="H72" s="7" t="s">
        <v>184</v>
      </c>
      <c r="I72" s="7" t="s">
        <v>188</v>
      </c>
      <c r="J72" s="7" t="s">
        <v>15</v>
      </c>
      <c r="K72" s="7"/>
      <c r="L72" s="14" t="s">
        <v>12</v>
      </c>
      <c r="M72" s="7" t="s">
        <v>39</v>
      </c>
      <c r="N72" s="7"/>
    </row>
    <row r="73" spans="1:14" s="11" customFormat="1">
      <c r="A73" s="7"/>
      <c r="B73" s="7"/>
      <c r="C73" s="7"/>
      <c r="D73" s="13"/>
      <c r="E73" s="7"/>
      <c r="F73" s="1">
        <f t="shared" si="1"/>
        <v>9</v>
      </c>
      <c r="G73" s="7"/>
      <c r="H73" s="7"/>
      <c r="I73" s="7"/>
      <c r="J73" s="7"/>
      <c r="K73" s="7"/>
      <c r="L73" s="14" t="s">
        <v>16</v>
      </c>
      <c r="M73" s="7" t="s">
        <v>45</v>
      </c>
      <c r="N73" s="7"/>
    </row>
    <row r="74" spans="1:14" s="11" customFormat="1" ht="69">
      <c r="A74" s="7"/>
      <c r="B74" s="7"/>
      <c r="C74" s="7"/>
      <c r="D74" s="7"/>
      <c r="E74" s="7"/>
      <c r="F74" s="1">
        <f t="shared" si="1"/>
        <v>9</v>
      </c>
      <c r="G74" s="7"/>
      <c r="H74" s="7"/>
      <c r="I74" s="7"/>
      <c r="J74" s="7"/>
      <c r="K74" s="7"/>
      <c r="L74" s="14" t="s">
        <v>17</v>
      </c>
      <c r="M74" s="7" t="s">
        <v>13</v>
      </c>
      <c r="N74" s="7"/>
    </row>
    <row r="75" spans="1:14" s="11" customFormat="1">
      <c r="A75" s="7"/>
      <c r="B75" s="7"/>
      <c r="C75" s="7"/>
      <c r="D75" s="7"/>
      <c r="E75" s="7"/>
      <c r="F75" s="1">
        <f t="shared" si="1"/>
        <v>9</v>
      </c>
      <c r="G75" s="7"/>
      <c r="H75" s="7"/>
      <c r="I75" s="7"/>
      <c r="J75" s="7"/>
      <c r="K75" s="7"/>
      <c r="L75" s="14" t="s">
        <v>18</v>
      </c>
      <c r="M75" s="7" t="s">
        <v>19</v>
      </c>
      <c r="N75" s="7"/>
    </row>
    <row r="76" spans="1:14" s="11" customFormat="1" ht="27.6">
      <c r="A76" s="7"/>
      <c r="B76" s="7"/>
      <c r="C76" s="7"/>
      <c r="D76" s="7"/>
      <c r="E76" s="7"/>
      <c r="F76" s="1">
        <f t="shared" si="1"/>
        <v>9</v>
      </c>
      <c r="G76" s="7"/>
      <c r="H76" s="7"/>
      <c r="I76" s="7"/>
      <c r="J76" s="7"/>
      <c r="K76" s="7"/>
      <c r="L76" s="14" t="s">
        <v>20</v>
      </c>
      <c r="M76" s="7" t="s">
        <v>92</v>
      </c>
      <c r="N76" s="7"/>
    </row>
    <row r="77" spans="1:14" s="11" customFormat="1">
      <c r="A77" s="7"/>
      <c r="B77" s="7"/>
      <c r="C77" s="7"/>
      <c r="D77" s="7"/>
      <c r="E77" s="7"/>
      <c r="F77" s="1">
        <f t="shared" si="1"/>
        <v>9</v>
      </c>
      <c r="G77" s="7"/>
      <c r="H77" s="7"/>
      <c r="I77" s="7"/>
      <c r="J77" s="7"/>
      <c r="K77" s="7"/>
      <c r="L77" s="14" t="s">
        <v>21</v>
      </c>
      <c r="M77" s="7" t="s">
        <v>53</v>
      </c>
      <c r="N77" s="7"/>
    </row>
    <row r="78" spans="1:14" ht="27.6">
      <c r="A78" s="1" t="s">
        <v>31</v>
      </c>
      <c r="B78" s="1" t="s">
        <v>10</v>
      </c>
      <c r="C78" s="1" t="s">
        <v>32</v>
      </c>
      <c r="D78" s="1" t="s">
        <v>24</v>
      </c>
      <c r="E78" s="1" t="s">
        <v>56</v>
      </c>
      <c r="F78" s="1">
        <f t="shared" si="1"/>
        <v>10</v>
      </c>
      <c r="G78" s="1" t="s">
        <v>221</v>
      </c>
      <c r="H78" s="1" t="s">
        <v>50</v>
      </c>
      <c r="I78" s="1" t="s">
        <v>189</v>
      </c>
      <c r="J78" s="1" t="s">
        <v>11</v>
      </c>
      <c r="K78" s="1" t="s">
        <v>62</v>
      </c>
      <c r="L78" s="8" t="s">
        <v>52</v>
      </c>
      <c r="M78" s="1" t="s">
        <v>39</v>
      </c>
      <c r="N78" s="1"/>
    </row>
    <row r="79" spans="1:14">
      <c r="A79" s="1"/>
      <c r="B79" s="1"/>
      <c r="C79" s="1"/>
      <c r="D79" s="1"/>
      <c r="E79" s="1"/>
      <c r="F79" s="1">
        <f t="shared" si="1"/>
        <v>10</v>
      </c>
      <c r="G79" s="1"/>
      <c r="H79" s="1"/>
      <c r="I79" s="1"/>
      <c r="J79" s="1"/>
      <c r="K79" s="1"/>
      <c r="L79" s="8" t="s">
        <v>181</v>
      </c>
      <c r="M79" s="1" t="s">
        <v>69</v>
      </c>
      <c r="N79" s="1"/>
    </row>
    <row r="80" spans="1:14" ht="82.8">
      <c r="A80" s="1"/>
      <c r="B80" s="1"/>
      <c r="C80" s="1"/>
      <c r="D80" s="1"/>
      <c r="E80" s="1"/>
      <c r="F80" s="1">
        <f t="shared" si="1"/>
        <v>10</v>
      </c>
      <c r="G80" s="1"/>
      <c r="H80" s="1"/>
      <c r="I80" s="1"/>
      <c r="J80" s="1"/>
      <c r="K80" s="1"/>
      <c r="L80" s="8" t="s">
        <v>177</v>
      </c>
      <c r="M80" s="1" t="s">
        <v>178</v>
      </c>
      <c r="N80" s="1"/>
    </row>
    <row r="81" spans="1:14" ht="69">
      <c r="A81" s="1"/>
      <c r="B81" s="1"/>
      <c r="C81" s="1"/>
      <c r="D81" s="1"/>
      <c r="E81" s="1"/>
      <c r="F81" s="1">
        <f t="shared" si="1"/>
        <v>10</v>
      </c>
      <c r="G81" s="1"/>
      <c r="H81" s="1"/>
      <c r="I81" s="1"/>
      <c r="J81" s="1"/>
      <c r="K81" s="1"/>
      <c r="L81" s="8" t="s">
        <v>89</v>
      </c>
      <c r="M81" s="1" t="s">
        <v>86</v>
      </c>
      <c r="N81" s="1"/>
    </row>
    <row r="82" spans="1:14" ht="69">
      <c r="A82" s="1"/>
      <c r="B82" s="1"/>
      <c r="C82" s="1"/>
      <c r="D82" s="1"/>
      <c r="E82" s="1"/>
      <c r="F82" s="1">
        <f t="shared" si="1"/>
        <v>10</v>
      </c>
      <c r="G82" s="1"/>
      <c r="H82" s="1"/>
      <c r="I82" s="1"/>
      <c r="J82" s="1"/>
      <c r="K82" s="1"/>
      <c r="L82" s="14" t="s">
        <v>145</v>
      </c>
      <c r="M82" s="7" t="s">
        <v>146</v>
      </c>
      <c r="N82" s="1"/>
    </row>
    <row r="83" spans="1:14" ht="27.6">
      <c r="A83" s="1"/>
      <c r="B83" s="1"/>
      <c r="C83" s="1"/>
      <c r="D83" s="1"/>
      <c r="E83" s="1"/>
      <c r="F83" s="1">
        <f t="shared" si="1"/>
        <v>10</v>
      </c>
      <c r="G83" s="1"/>
      <c r="H83" s="1"/>
      <c r="I83" s="1"/>
      <c r="J83" s="1"/>
      <c r="K83" s="1"/>
      <c r="L83" s="14" t="s">
        <v>87</v>
      </c>
      <c r="M83" s="7" t="s">
        <v>88</v>
      </c>
      <c r="N83" s="1"/>
    </row>
    <row r="84" spans="1:14" ht="41.4">
      <c r="A84" s="1"/>
      <c r="B84" s="1"/>
      <c r="C84" s="1"/>
      <c r="D84" s="1"/>
      <c r="E84" s="1"/>
      <c r="F84" s="1">
        <f t="shared" si="1"/>
        <v>10</v>
      </c>
      <c r="G84" s="1"/>
      <c r="H84" s="1"/>
      <c r="I84" s="1"/>
      <c r="J84" s="1"/>
      <c r="K84" s="1"/>
      <c r="L84" s="14" t="s">
        <v>70</v>
      </c>
      <c r="M84" s="7" t="s">
        <v>90</v>
      </c>
      <c r="N84" s="1"/>
    </row>
    <row r="85" spans="1:14" ht="207">
      <c r="A85" s="1"/>
      <c r="B85" s="1"/>
      <c r="C85" s="1"/>
      <c r="D85" s="1"/>
      <c r="E85" s="1"/>
      <c r="F85" s="1">
        <f t="shared" si="1"/>
        <v>10</v>
      </c>
      <c r="G85" s="1"/>
      <c r="H85" s="1"/>
      <c r="I85" s="1"/>
      <c r="J85" s="1"/>
      <c r="K85" s="1"/>
      <c r="L85" s="8" t="s">
        <v>152</v>
      </c>
      <c r="M85" s="1" t="s">
        <v>153</v>
      </c>
      <c r="N85" s="1"/>
    </row>
    <row r="86" spans="1:14" ht="82.8">
      <c r="A86" s="1"/>
      <c r="B86" s="1"/>
      <c r="C86" s="1"/>
      <c r="D86" s="1"/>
      <c r="E86" s="1"/>
      <c r="F86" s="1">
        <f t="shared" si="1"/>
        <v>10</v>
      </c>
      <c r="G86" s="1"/>
      <c r="H86" s="1"/>
      <c r="I86" s="1"/>
      <c r="J86" s="1"/>
      <c r="K86" s="1"/>
      <c r="L86" s="8" t="s">
        <v>182</v>
      </c>
      <c r="M86" s="1" t="s">
        <v>183</v>
      </c>
      <c r="N86" s="1"/>
    </row>
    <row r="87" spans="1:14" ht="400.2">
      <c r="A87" s="1"/>
      <c r="B87" s="1"/>
      <c r="C87" s="1"/>
      <c r="D87" s="1"/>
      <c r="E87" s="1"/>
      <c r="F87" s="1">
        <f t="shared" si="1"/>
        <v>10</v>
      </c>
      <c r="G87" s="1"/>
      <c r="H87" s="1"/>
      <c r="I87" s="1"/>
      <c r="J87" s="1"/>
      <c r="K87" s="1"/>
      <c r="L87" s="8" t="s">
        <v>175</v>
      </c>
      <c r="M87" s="1" t="s">
        <v>173</v>
      </c>
      <c r="N87" s="1"/>
    </row>
    <row r="88" spans="1:14">
      <c r="A88" s="1"/>
      <c r="B88" s="1"/>
      <c r="C88" s="1"/>
      <c r="D88" s="1"/>
      <c r="E88" s="1"/>
      <c r="F88" s="1">
        <f t="shared" si="1"/>
        <v>10</v>
      </c>
      <c r="G88" s="1"/>
      <c r="H88" s="1"/>
      <c r="I88" s="1"/>
      <c r="J88" s="1"/>
      <c r="K88" s="1"/>
      <c r="L88" s="14" t="s">
        <v>55</v>
      </c>
      <c r="M88" s="1" t="s">
        <v>43</v>
      </c>
      <c r="N88" s="1"/>
    </row>
    <row r="89" spans="1:14">
      <c r="A89" s="1"/>
      <c r="B89" s="1"/>
      <c r="C89" s="1"/>
      <c r="D89" s="1"/>
      <c r="E89" s="1"/>
      <c r="F89" s="1">
        <f t="shared" si="1"/>
        <v>10</v>
      </c>
      <c r="G89" s="1"/>
      <c r="H89" s="1"/>
      <c r="I89" s="1"/>
      <c r="J89" s="1"/>
      <c r="K89" s="1"/>
      <c r="L89" s="8" t="s">
        <v>55</v>
      </c>
      <c r="M89" s="1" t="s">
        <v>44</v>
      </c>
      <c r="N89" s="1"/>
    </row>
    <row r="90" spans="1:14" ht="69">
      <c r="A90" s="1"/>
      <c r="B90" s="1"/>
      <c r="C90" s="1"/>
      <c r="D90" s="1"/>
      <c r="E90" s="1"/>
      <c r="F90" s="1">
        <f t="shared" si="1"/>
        <v>10</v>
      </c>
      <c r="G90" s="1"/>
      <c r="H90" s="1"/>
      <c r="I90" s="1"/>
      <c r="J90" s="1"/>
      <c r="K90" s="1"/>
      <c r="L90" s="8" t="s">
        <v>161</v>
      </c>
      <c r="M90" s="1" t="s">
        <v>160</v>
      </c>
      <c r="N90" s="1"/>
    </row>
    <row r="91" spans="1:14">
      <c r="A91" s="1"/>
      <c r="B91" s="1"/>
      <c r="C91" s="1"/>
      <c r="D91" s="1"/>
      <c r="E91" s="1"/>
      <c r="F91" s="1">
        <f t="shared" si="1"/>
        <v>10</v>
      </c>
      <c r="G91" s="1"/>
      <c r="H91" s="1"/>
      <c r="I91" s="1"/>
      <c r="J91" s="1"/>
      <c r="K91" s="1"/>
      <c r="L91" s="8" t="s">
        <v>14</v>
      </c>
      <c r="M91" s="1" t="s">
        <v>76</v>
      </c>
      <c r="N91" s="1"/>
    </row>
    <row r="92" spans="1:14" ht="41.4">
      <c r="A92" s="1" t="s">
        <v>10</v>
      </c>
      <c r="B92" s="1" t="s">
        <v>10</v>
      </c>
      <c r="C92" s="1" t="s">
        <v>129</v>
      </c>
      <c r="D92" s="1" t="s">
        <v>24</v>
      </c>
      <c r="E92" s="1" t="s">
        <v>56</v>
      </c>
      <c r="F92" s="1">
        <f t="shared" si="1"/>
        <v>11</v>
      </c>
      <c r="G92" s="1" t="s">
        <v>222</v>
      </c>
      <c r="H92" s="1" t="s">
        <v>184</v>
      </c>
      <c r="I92" s="1" t="s">
        <v>190</v>
      </c>
      <c r="J92" s="1" t="s">
        <v>15</v>
      </c>
      <c r="K92" s="1"/>
      <c r="L92" s="8" t="s">
        <v>12</v>
      </c>
      <c r="M92" s="1" t="s">
        <v>39</v>
      </c>
      <c r="N92" s="1"/>
    </row>
    <row r="93" spans="1:14">
      <c r="A93" s="1"/>
      <c r="B93" s="1"/>
      <c r="C93" s="1"/>
      <c r="D93" s="1"/>
      <c r="E93" s="1"/>
      <c r="F93" s="1">
        <f t="shared" si="1"/>
        <v>11</v>
      </c>
      <c r="G93" s="1"/>
      <c r="H93" s="1"/>
      <c r="I93" s="1"/>
      <c r="J93" s="1"/>
      <c r="K93" s="1"/>
      <c r="L93" s="8" t="s">
        <v>16</v>
      </c>
      <c r="M93" s="1" t="s">
        <v>45</v>
      </c>
      <c r="N93" s="1"/>
    </row>
    <row r="94" spans="1:14" ht="69">
      <c r="A94" s="1"/>
      <c r="B94" s="1"/>
      <c r="C94" s="1"/>
      <c r="D94" s="1"/>
      <c r="E94" s="1"/>
      <c r="F94" s="1">
        <f t="shared" si="1"/>
        <v>11</v>
      </c>
      <c r="G94" s="1"/>
      <c r="H94" s="1"/>
      <c r="I94" s="1"/>
      <c r="J94" s="1"/>
      <c r="K94" s="1"/>
      <c r="L94" s="8" t="s">
        <v>17</v>
      </c>
      <c r="M94" s="1" t="s">
        <v>13</v>
      </c>
      <c r="N94" s="1"/>
    </row>
    <row r="95" spans="1:14">
      <c r="A95" s="1"/>
      <c r="B95" s="1"/>
      <c r="C95" s="1"/>
      <c r="D95" s="1"/>
      <c r="E95" s="1"/>
      <c r="F95" s="1">
        <f t="shared" si="1"/>
        <v>11</v>
      </c>
      <c r="G95" s="1"/>
      <c r="H95" s="1"/>
      <c r="I95" s="1"/>
      <c r="J95" s="1"/>
      <c r="K95" s="1"/>
      <c r="L95" s="8" t="s">
        <v>18</v>
      </c>
      <c r="M95" s="1" t="s">
        <v>19</v>
      </c>
      <c r="N95" s="1"/>
    </row>
    <row r="96" spans="1:14" ht="27.6">
      <c r="A96" s="1"/>
      <c r="B96" s="1"/>
      <c r="C96" s="1"/>
      <c r="D96" s="1"/>
      <c r="E96" s="1"/>
      <c r="F96" s="1">
        <f t="shared" si="1"/>
        <v>11</v>
      </c>
      <c r="G96" s="1"/>
      <c r="H96" s="1"/>
      <c r="I96" s="1"/>
      <c r="J96" s="1"/>
      <c r="K96" s="1"/>
      <c r="L96" s="8" t="s">
        <v>20</v>
      </c>
      <c r="M96" s="1" t="s">
        <v>92</v>
      </c>
      <c r="N96" s="1"/>
    </row>
    <row r="97" spans="1:14">
      <c r="A97" s="1"/>
      <c r="B97" s="1"/>
      <c r="C97" s="1"/>
      <c r="D97" s="1"/>
      <c r="E97" s="1"/>
      <c r="F97" s="1">
        <f t="shared" si="1"/>
        <v>11</v>
      </c>
      <c r="G97" s="1"/>
      <c r="H97" s="1"/>
      <c r="I97" s="1"/>
      <c r="J97" s="1"/>
      <c r="K97" s="1"/>
      <c r="L97" s="8" t="s">
        <v>21</v>
      </c>
      <c r="M97" s="1" t="s">
        <v>53</v>
      </c>
      <c r="N97" s="1"/>
    </row>
    <row r="98" spans="1:14">
      <c r="A98" s="1" t="s">
        <v>10</v>
      </c>
      <c r="B98" s="1" t="s">
        <v>10</v>
      </c>
      <c r="C98" s="1" t="s">
        <v>65</v>
      </c>
      <c r="D98" s="1" t="s">
        <v>33</v>
      </c>
      <c r="E98" s="1" t="s">
        <v>102</v>
      </c>
      <c r="F98" s="1">
        <f t="shared" si="1"/>
        <v>12</v>
      </c>
      <c r="G98" s="1" t="s">
        <v>223</v>
      </c>
      <c r="H98" s="1" t="s">
        <v>191</v>
      </c>
      <c r="I98" s="1" t="s">
        <v>107</v>
      </c>
      <c r="J98" s="1" t="s">
        <v>11</v>
      </c>
      <c r="K98" s="1"/>
      <c r="L98" s="8" t="s">
        <v>100</v>
      </c>
      <c r="M98" s="2" t="s">
        <v>101</v>
      </c>
      <c r="N98" s="1"/>
    </row>
    <row r="99" spans="1:14" s="15" customFormat="1">
      <c r="A99" s="16"/>
      <c r="B99" s="16"/>
      <c r="C99" s="16"/>
      <c r="D99" s="16"/>
      <c r="E99" s="16"/>
      <c r="F99" s="1">
        <f t="shared" si="1"/>
        <v>12</v>
      </c>
      <c r="G99" s="1"/>
      <c r="H99" s="16"/>
      <c r="I99" s="1"/>
      <c r="J99" s="16"/>
      <c r="K99" s="16"/>
      <c r="L99" s="17" t="s">
        <v>103</v>
      </c>
      <c r="M99" s="1" t="s">
        <v>104</v>
      </c>
      <c r="N99" s="16"/>
    </row>
    <row r="100" spans="1:14" s="15" customFormat="1" ht="27.6">
      <c r="A100" s="16"/>
      <c r="B100" s="16"/>
      <c r="C100" s="16"/>
      <c r="D100" s="16"/>
      <c r="E100" s="16"/>
      <c r="F100" s="1">
        <f t="shared" si="1"/>
        <v>12</v>
      </c>
      <c r="G100" s="16"/>
      <c r="H100" s="16"/>
      <c r="I100" s="16"/>
      <c r="J100" s="16"/>
      <c r="K100" s="16"/>
      <c r="L100" s="8" t="s">
        <v>192</v>
      </c>
      <c r="M100" s="1" t="s">
        <v>105</v>
      </c>
      <c r="N100" s="16"/>
    </row>
    <row r="101" spans="1:14" s="15" customFormat="1" ht="179.4">
      <c r="A101" s="16"/>
      <c r="B101" s="16"/>
      <c r="C101" s="16"/>
      <c r="D101" s="16"/>
      <c r="E101" s="16"/>
      <c r="F101" s="1">
        <f t="shared" si="1"/>
        <v>12</v>
      </c>
      <c r="G101" s="16"/>
      <c r="H101" s="16"/>
      <c r="I101" s="16"/>
      <c r="J101" s="16"/>
      <c r="K101" s="16"/>
      <c r="L101" s="8" t="s">
        <v>147</v>
      </c>
      <c r="M101" s="1" t="s">
        <v>106</v>
      </c>
      <c r="N101" s="16"/>
    </row>
    <row r="102" spans="1:14">
      <c r="A102" s="1" t="s">
        <v>10</v>
      </c>
      <c r="B102" s="1" t="s">
        <v>10</v>
      </c>
      <c r="C102" s="1" t="s">
        <v>66</v>
      </c>
      <c r="D102" s="1" t="s">
        <v>33</v>
      </c>
      <c r="E102" s="1" t="s">
        <v>102</v>
      </c>
      <c r="F102" s="1">
        <f t="shared" si="1"/>
        <v>13</v>
      </c>
      <c r="G102" s="1" t="s">
        <v>224</v>
      </c>
      <c r="H102" s="1" t="s">
        <v>193</v>
      </c>
      <c r="I102" s="1" t="s">
        <v>194</v>
      </c>
      <c r="J102" s="1" t="s">
        <v>11</v>
      </c>
      <c r="K102" s="1"/>
      <c r="L102" s="8" t="s">
        <v>100</v>
      </c>
      <c r="M102" s="1" t="s">
        <v>101</v>
      </c>
      <c r="N102" s="1"/>
    </row>
    <row r="103" spans="1:14">
      <c r="A103" s="1"/>
      <c r="B103" s="1"/>
      <c r="C103" s="1"/>
      <c r="D103" s="1"/>
      <c r="E103" s="1"/>
      <c r="F103" s="1">
        <f t="shared" si="1"/>
        <v>13</v>
      </c>
      <c r="G103" s="1"/>
      <c r="H103" s="1"/>
      <c r="I103" s="1"/>
      <c r="J103" s="1"/>
      <c r="K103" s="1"/>
      <c r="L103" s="8" t="s">
        <v>109</v>
      </c>
      <c r="M103" s="1" t="s">
        <v>110</v>
      </c>
      <c r="N103" s="1"/>
    </row>
    <row r="104" spans="1:14" ht="27.6">
      <c r="A104" s="1"/>
      <c r="B104" s="1"/>
      <c r="C104" s="1"/>
      <c r="D104" s="1"/>
      <c r="E104" s="1"/>
      <c r="F104" s="1">
        <f t="shared" si="1"/>
        <v>13</v>
      </c>
      <c r="G104" s="1"/>
      <c r="H104" s="1"/>
      <c r="I104" s="1"/>
      <c r="J104" s="1"/>
      <c r="K104" s="1"/>
      <c r="L104" s="3" t="s">
        <v>195</v>
      </c>
      <c r="M104" s="1" t="s">
        <v>111</v>
      </c>
      <c r="N104" s="1"/>
    </row>
    <row r="105" spans="1:14" ht="151.80000000000001">
      <c r="A105" s="1"/>
      <c r="B105" s="1"/>
      <c r="C105" s="1"/>
      <c r="D105" s="1"/>
      <c r="E105" s="1"/>
      <c r="F105" s="1">
        <f t="shared" si="1"/>
        <v>13</v>
      </c>
      <c r="G105" s="1"/>
      <c r="H105" s="1"/>
      <c r="I105" s="1"/>
      <c r="J105" s="1"/>
      <c r="K105" s="1"/>
      <c r="L105" s="8" t="s">
        <v>140</v>
      </c>
      <c r="M105" s="1" t="s">
        <v>93</v>
      </c>
      <c r="N105" s="1"/>
    </row>
    <row r="106" spans="1:14">
      <c r="A106" s="1" t="s">
        <v>10</v>
      </c>
      <c r="B106" s="1" t="s">
        <v>10</v>
      </c>
      <c r="C106" s="1" t="s">
        <v>63</v>
      </c>
      <c r="D106" s="1" t="s">
        <v>33</v>
      </c>
      <c r="E106" s="1" t="s">
        <v>56</v>
      </c>
      <c r="F106" s="1">
        <f t="shared" si="1"/>
        <v>14</v>
      </c>
      <c r="G106" s="1" t="s">
        <v>225</v>
      </c>
      <c r="H106" s="1" t="s">
        <v>196</v>
      </c>
      <c r="I106" s="1" t="s">
        <v>197</v>
      </c>
      <c r="J106" s="1" t="s">
        <v>11</v>
      </c>
      <c r="K106" s="1"/>
      <c r="L106" s="8" t="s">
        <v>94</v>
      </c>
      <c r="M106" s="1" t="s">
        <v>95</v>
      </c>
      <c r="N106" s="1"/>
    </row>
    <row r="107" spans="1:14" s="15" customFormat="1">
      <c r="A107" s="16"/>
      <c r="B107" s="16"/>
      <c r="C107" s="16"/>
      <c r="D107" s="16"/>
      <c r="E107" s="16"/>
      <c r="F107" s="1">
        <f t="shared" si="1"/>
        <v>14</v>
      </c>
      <c r="G107" s="1"/>
      <c r="H107" s="16"/>
      <c r="I107" s="16"/>
      <c r="J107" s="16"/>
      <c r="K107" s="16"/>
      <c r="L107" s="8" t="s">
        <v>114</v>
      </c>
      <c r="M107" s="1" t="s">
        <v>115</v>
      </c>
      <c r="N107" s="16"/>
    </row>
    <row r="108" spans="1:14" s="15" customFormat="1" ht="27.6">
      <c r="A108" s="16"/>
      <c r="B108" s="16"/>
      <c r="C108" s="16"/>
      <c r="D108" s="16"/>
      <c r="E108" s="16"/>
      <c r="F108" s="1">
        <f t="shared" si="1"/>
        <v>14</v>
      </c>
      <c r="G108" s="16"/>
      <c r="H108" s="16"/>
      <c r="I108" s="16"/>
      <c r="J108" s="16"/>
      <c r="K108" s="16"/>
      <c r="L108" s="8" t="s">
        <v>108</v>
      </c>
      <c r="M108" s="1" t="s">
        <v>115</v>
      </c>
      <c r="N108" s="16"/>
    </row>
    <row r="109" spans="1:14" s="15" customFormat="1" ht="400.2">
      <c r="A109" s="16"/>
      <c r="B109" s="16"/>
      <c r="C109" s="16"/>
      <c r="D109" s="16"/>
      <c r="E109" s="16"/>
      <c r="F109" s="1">
        <f t="shared" si="1"/>
        <v>14</v>
      </c>
      <c r="G109" s="16"/>
      <c r="H109" s="16"/>
      <c r="I109" s="1"/>
      <c r="J109" s="16"/>
      <c r="K109" s="16"/>
      <c r="L109" s="8" t="s">
        <v>141</v>
      </c>
      <c r="M109" s="1" t="s">
        <v>93</v>
      </c>
      <c r="N109" s="16"/>
    </row>
    <row r="110" spans="1:14">
      <c r="A110" s="1" t="s">
        <v>10</v>
      </c>
      <c r="B110" s="1" t="s">
        <v>10</v>
      </c>
      <c r="C110" s="1" t="s">
        <v>64</v>
      </c>
      <c r="D110" s="1" t="s">
        <v>33</v>
      </c>
      <c r="E110" s="1" t="s">
        <v>102</v>
      </c>
      <c r="F110" s="1">
        <f t="shared" si="1"/>
        <v>15</v>
      </c>
      <c r="G110" s="1" t="s">
        <v>226</v>
      </c>
      <c r="H110" s="1" t="s">
        <v>196</v>
      </c>
      <c r="I110" s="1" t="s">
        <v>198</v>
      </c>
      <c r="J110" s="1" t="s">
        <v>11</v>
      </c>
      <c r="K110" s="1"/>
      <c r="L110" s="8" t="s">
        <v>94</v>
      </c>
      <c r="M110" s="1" t="s">
        <v>95</v>
      </c>
      <c r="N110" s="1"/>
    </row>
    <row r="111" spans="1:14" s="15" customFormat="1">
      <c r="A111" s="16"/>
      <c r="B111" s="16"/>
      <c r="C111" s="16"/>
      <c r="D111" s="16"/>
      <c r="E111" s="16"/>
      <c r="F111" s="1">
        <f t="shared" si="1"/>
        <v>15</v>
      </c>
      <c r="G111" s="16"/>
      <c r="H111" s="16"/>
      <c r="I111" s="16"/>
      <c r="J111" s="16"/>
      <c r="K111" s="16"/>
      <c r="L111" s="8" t="s">
        <v>114</v>
      </c>
      <c r="M111" s="1" t="s">
        <v>115</v>
      </c>
      <c r="N111" s="16"/>
    </row>
    <row r="112" spans="1:14" s="15" customFormat="1" ht="27.6">
      <c r="A112" s="16"/>
      <c r="B112" s="16"/>
      <c r="C112" s="16"/>
      <c r="D112" s="16"/>
      <c r="E112" s="16"/>
      <c r="F112" s="1">
        <f t="shared" si="1"/>
        <v>15</v>
      </c>
      <c r="G112" s="16"/>
      <c r="H112" s="16"/>
      <c r="I112" s="1"/>
      <c r="J112" s="16"/>
      <c r="K112" s="16"/>
      <c r="L112" s="8" t="s">
        <v>108</v>
      </c>
      <c r="M112" s="1" t="s">
        <v>115</v>
      </c>
      <c r="N112" s="16"/>
    </row>
    <row r="113" spans="1:14" s="15" customFormat="1" ht="165.6">
      <c r="A113" s="16"/>
      <c r="B113" s="16"/>
      <c r="C113" s="16"/>
      <c r="D113" s="16"/>
      <c r="E113" s="16"/>
      <c r="F113" s="1">
        <f t="shared" si="1"/>
        <v>15</v>
      </c>
      <c r="G113" s="16"/>
      <c r="H113" s="16"/>
      <c r="I113" s="16"/>
      <c r="J113" s="16"/>
      <c r="K113" s="16"/>
      <c r="L113" s="8" t="s">
        <v>116</v>
      </c>
      <c r="M113" s="1" t="s">
        <v>93</v>
      </c>
      <c r="N113" s="16"/>
    </row>
    <row r="114" spans="1:14" ht="27.6">
      <c r="A114" s="1" t="s">
        <v>10</v>
      </c>
      <c r="B114" s="1" t="s">
        <v>10</v>
      </c>
      <c r="C114" s="1" t="s">
        <v>35</v>
      </c>
      <c r="D114" s="1" t="s">
        <v>24</v>
      </c>
      <c r="E114" s="1" t="s">
        <v>56</v>
      </c>
      <c r="F114" s="1">
        <f t="shared" si="1"/>
        <v>16</v>
      </c>
      <c r="G114" s="1" t="s">
        <v>227</v>
      </c>
      <c r="H114" s="1" t="s">
        <v>199</v>
      </c>
      <c r="I114" s="1" t="s">
        <v>200</v>
      </c>
      <c r="J114" s="1" t="s">
        <v>11</v>
      </c>
      <c r="K114" s="1"/>
      <c r="L114" s="8" t="s">
        <v>100</v>
      </c>
      <c r="M114" s="2" t="s">
        <v>101</v>
      </c>
      <c r="N114" s="1"/>
    </row>
    <row r="115" spans="1:14">
      <c r="A115" s="1"/>
      <c r="B115" s="1"/>
      <c r="C115" s="1"/>
      <c r="D115" s="1"/>
      <c r="E115" s="1"/>
      <c r="F115" s="1">
        <f t="shared" si="1"/>
        <v>16</v>
      </c>
      <c r="G115" s="1"/>
      <c r="H115" s="1"/>
      <c r="I115" s="1"/>
      <c r="J115" s="1"/>
      <c r="K115" s="1"/>
      <c r="L115" s="8" t="s">
        <v>201</v>
      </c>
      <c r="M115" s="1" t="s">
        <v>202</v>
      </c>
      <c r="N115" s="1"/>
    </row>
    <row r="116" spans="1:14" ht="41.4">
      <c r="A116" s="1"/>
      <c r="B116" s="1"/>
      <c r="C116" s="1"/>
      <c r="D116" s="1"/>
      <c r="E116" s="1"/>
      <c r="F116" s="1">
        <f t="shared" si="1"/>
        <v>16</v>
      </c>
      <c r="G116" s="1"/>
      <c r="H116" s="1"/>
      <c r="I116" s="1"/>
      <c r="J116" s="1"/>
      <c r="K116" s="1"/>
      <c r="L116" s="8" t="s">
        <v>203</v>
      </c>
      <c r="M116" s="1" t="s">
        <v>113</v>
      </c>
      <c r="N116" s="1"/>
    </row>
    <row r="117" spans="1:14">
      <c r="A117" s="1"/>
      <c r="B117" s="1"/>
      <c r="C117" s="1"/>
      <c r="D117" s="1"/>
      <c r="E117" s="1"/>
      <c r="F117" s="1">
        <f t="shared" si="1"/>
        <v>16</v>
      </c>
      <c r="G117" s="1"/>
      <c r="H117" s="1"/>
      <c r="I117" s="1"/>
      <c r="J117" s="1"/>
      <c r="K117" s="1"/>
      <c r="L117" s="8" t="s">
        <v>119</v>
      </c>
      <c r="M117" s="1" t="s">
        <v>113</v>
      </c>
      <c r="N117" s="1"/>
    </row>
    <row r="118" spans="1:14">
      <c r="A118" s="1"/>
      <c r="B118" s="1"/>
      <c r="C118" s="1"/>
      <c r="D118" s="1"/>
      <c r="E118" s="1"/>
      <c r="F118" s="1">
        <f t="shared" si="1"/>
        <v>16</v>
      </c>
      <c r="G118" s="1"/>
      <c r="H118" s="1"/>
      <c r="I118" s="1"/>
      <c r="J118" s="1"/>
      <c r="K118" s="1"/>
      <c r="L118" s="8" t="s">
        <v>99</v>
      </c>
      <c r="M118" s="1" t="s">
        <v>120</v>
      </c>
      <c r="N118" s="1"/>
    </row>
    <row r="119" spans="1:14" ht="27.6">
      <c r="A119" s="1" t="s">
        <v>10</v>
      </c>
      <c r="B119" s="1" t="s">
        <v>10</v>
      </c>
      <c r="C119" s="1" t="s">
        <v>35</v>
      </c>
      <c r="D119" s="1" t="s">
        <v>24</v>
      </c>
      <c r="E119" s="1" t="s">
        <v>56</v>
      </c>
      <c r="F119" s="1">
        <f t="shared" si="1"/>
        <v>17</v>
      </c>
      <c r="G119" s="1" t="s">
        <v>228</v>
      </c>
      <c r="H119" s="1" t="s">
        <v>121</v>
      </c>
      <c r="I119" s="1" t="s">
        <v>204</v>
      </c>
      <c r="J119" s="1" t="s">
        <v>15</v>
      </c>
      <c r="K119" s="1"/>
      <c r="L119" s="8" t="s">
        <v>100</v>
      </c>
      <c r="M119" s="2" t="s">
        <v>101</v>
      </c>
      <c r="N119" s="1"/>
    </row>
    <row r="120" spans="1:14" ht="27.6">
      <c r="A120" s="1"/>
      <c r="B120" s="1"/>
      <c r="C120" s="1"/>
      <c r="D120" s="1"/>
      <c r="E120" s="1"/>
      <c r="F120" s="1">
        <f t="shared" si="1"/>
        <v>17</v>
      </c>
      <c r="G120" s="1"/>
      <c r="H120" s="1"/>
      <c r="I120" s="1"/>
      <c r="J120" s="1"/>
      <c r="K120" s="1"/>
      <c r="L120" s="8" t="s">
        <v>205</v>
      </c>
      <c r="M120" s="1" t="s">
        <v>206</v>
      </c>
      <c r="N120" s="1"/>
    </row>
    <row r="121" spans="1:14" ht="41.4">
      <c r="A121" s="1"/>
      <c r="B121" s="1"/>
      <c r="C121" s="1"/>
      <c r="D121" s="1"/>
      <c r="E121" s="1"/>
      <c r="F121" s="1">
        <f t="shared" si="1"/>
        <v>17</v>
      </c>
      <c r="G121" s="1"/>
      <c r="H121" s="1"/>
      <c r="I121" s="1"/>
      <c r="J121" s="1"/>
      <c r="K121" s="1"/>
      <c r="L121" s="8" t="s">
        <v>112</v>
      </c>
      <c r="M121" s="1" t="s">
        <v>96</v>
      </c>
      <c r="N121" s="1"/>
    </row>
    <row r="122" spans="1:14">
      <c r="A122" s="1"/>
      <c r="B122" s="1"/>
      <c r="C122" s="1"/>
      <c r="D122" s="1"/>
      <c r="E122" s="1"/>
      <c r="F122" s="1">
        <f t="shared" si="1"/>
        <v>17</v>
      </c>
      <c r="G122" s="1"/>
      <c r="H122" s="1"/>
      <c r="I122" s="1"/>
      <c r="J122" s="1"/>
      <c r="K122" s="1"/>
      <c r="L122" s="8" t="s">
        <v>122</v>
      </c>
      <c r="M122" s="1" t="s">
        <v>97</v>
      </c>
      <c r="N122" s="1"/>
    </row>
    <row r="123" spans="1:14">
      <c r="A123" s="1"/>
      <c r="B123" s="1"/>
      <c r="C123" s="1"/>
      <c r="D123" s="1"/>
      <c r="E123" s="1"/>
      <c r="F123" s="1">
        <f t="shared" si="1"/>
        <v>17</v>
      </c>
      <c r="G123" s="1"/>
      <c r="H123" s="1"/>
      <c r="I123" s="1"/>
      <c r="J123" s="1"/>
      <c r="K123" s="1"/>
      <c r="L123" s="8" t="s">
        <v>123</v>
      </c>
      <c r="M123" s="1" t="s">
        <v>98</v>
      </c>
      <c r="N123" s="1"/>
    </row>
    <row r="124" spans="1:14">
      <c r="A124" s="4"/>
      <c r="B124" s="4"/>
      <c r="C124" s="4"/>
      <c r="D124" s="4"/>
      <c r="E124" s="4"/>
      <c r="F124" s="1">
        <f t="shared" si="1"/>
        <v>17</v>
      </c>
      <c r="G124" s="4"/>
      <c r="H124" s="4"/>
      <c r="I124" s="4"/>
      <c r="J124" s="4"/>
      <c r="K124" s="4"/>
      <c r="L124" s="9" t="s">
        <v>21</v>
      </c>
      <c r="M124" s="1" t="s">
        <v>124</v>
      </c>
      <c r="N124" s="1"/>
    </row>
    <row r="125" spans="1:14" s="5" customFormat="1" ht="14.4">
      <c r="A125" s="1" t="s">
        <v>10</v>
      </c>
      <c r="B125" s="1" t="s">
        <v>10</v>
      </c>
      <c r="C125" s="1" t="s">
        <v>130</v>
      </c>
      <c r="D125" s="1" t="s">
        <v>130</v>
      </c>
      <c r="E125" s="1" t="s">
        <v>102</v>
      </c>
      <c r="F125" s="1">
        <f t="shared" si="1"/>
        <v>18</v>
      </c>
      <c r="G125" s="1" t="s">
        <v>229</v>
      </c>
      <c r="H125" s="1" t="s">
        <v>207</v>
      </c>
      <c r="I125" s="1" t="s">
        <v>132</v>
      </c>
      <c r="J125" s="1" t="s">
        <v>11</v>
      </c>
      <c r="K125" s="1"/>
      <c r="L125" s="8" t="s">
        <v>100</v>
      </c>
      <c r="M125" s="2" t="s">
        <v>101</v>
      </c>
      <c r="N125" s="1"/>
    </row>
    <row r="126" spans="1:14" s="18" customFormat="1" ht="14.4">
      <c r="A126" s="16"/>
      <c r="B126" s="16"/>
      <c r="C126" s="16"/>
      <c r="D126" s="16"/>
      <c r="E126" s="16"/>
      <c r="F126" s="1">
        <f t="shared" si="1"/>
        <v>18</v>
      </c>
      <c r="G126" s="16"/>
      <c r="H126" s="16"/>
      <c r="I126" s="16"/>
      <c r="J126" s="16"/>
      <c r="K126" s="16"/>
      <c r="L126" s="17" t="s">
        <v>208</v>
      </c>
      <c r="M126" s="1" t="s">
        <v>209</v>
      </c>
      <c r="N126" s="16"/>
    </row>
    <row r="127" spans="1:14" s="18" customFormat="1" ht="55.2">
      <c r="A127" s="16"/>
      <c r="B127" s="16"/>
      <c r="C127" s="16"/>
      <c r="D127" s="16"/>
      <c r="E127" s="16"/>
      <c r="F127" s="1">
        <f t="shared" si="1"/>
        <v>18</v>
      </c>
      <c r="G127" s="16"/>
      <c r="H127" s="16"/>
      <c r="I127" s="16"/>
      <c r="J127" s="16"/>
      <c r="K127" s="16"/>
      <c r="L127" s="8" t="s">
        <v>210</v>
      </c>
      <c r="M127" s="1" t="s">
        <v>13</v>
      </c>
      <c r="N127" s="16"/>
    </row>
    <row r="128" spans="1:14" s="18" customFormat="1" ht="14.4">
      <c r="A128" s="16"/>
      <c r="B128" s="16"/>
      <c r="C128" s="16"/>
      <c r="D128" s="16"/>
      <c r="E128" s="16"/>
      <c r="F128" s="1">
        <f t="shared" si="1"/>
        <v>18</v>
      </c>
      <c r="G128" s="16"/>
      <c r="H128" s="16"/>
      <c r="I128" s="16"/>
      <c r="J128" s="16"/>
      <c r="K128" s="16"/>
      <c r="L128" s="17" t="s">
        <v>211</v>
      </c>
      <c r="M128" s="1" t="s">
        <v>131</v>
      </c>
      <c r="N128" s="16"/>
    </row>
    <row r="129" spans="1:14" s="5" customFormat="1" ht="14.4">
      <c r="A129" s="1" t="s">
        <v>10</v>
      </c>
      <c r="B129" s="1" t="s">
        <v>10</v>
      </c>
      <c r="C129" s="1" t="s">
        <v>130</v>
      </c>
      <c r="D129" s="1" t="s">
        <v>130</v>
      </c>
      <c r="E129" s="1" t="s">
        <v>102</v>
      </c>
      <c r="F129" s="1">
        <f t="shared" si="1"/>
        <v>19</v>
      </c>
      <c r="G129" s="1" t="s">
        <v>230</v>
      </c>
      <c r="H129" s="1" t="s">
        <v>207</v>
      </c>
      <c r="I129" s="1" t="s">
        <v>133</v>
      </c>
      <c r="J129" s="1" t="s">
        <v>11</v>
      </c>
      <c r="K129" s="1"/>
      <c r="L129" s="8" t="s">
        <v>100</v>
      </c>
      <c r="M129" s="2" t="s">
        <v>101</v>
      </c>
      <c r="N129" s="1"/>
    </row>
    <row r="130" spans="1:14" s="18" customFormat="1" ht="14.4">
      <c r="A130" s="16"/>
      <c r="B130" s="16"/>
      <c r="C130" s="16"/>
      <c r="D130" s="16"/>
      <c r="E130" s="16"/>
      <c r="F130" s="1">
        <f t="shared" si="1"/>
        <v>19</v>
      </c>
      <c r="G130" s="16"/>
      <c r="H130" s="16"/>
      <c r="I130" s="16"/>
      <c r="J130" s="16"/>
      <c r="K130" s="16"/>
      <c r="L130" s="17" t="s">
        <v>208</v>
      </c>
      <c r="M130" s="1" t="s">
        <v>209</v>
      </c>
      <c r="N130" s="16"/>
    </row>
    <row r="131" spans="1:14" s="18" customFormat="1" ht="55.2">
      <c r="A131" s="16"/>
      <c r="B131" s="16"/>
      <c r="C131" s="16"/>
      <c r="D131" s="16"/>
      <c r="E131" s="16"/>
      <c r="F131" s="1">
        <f t="shared" si="1"/>
        <v>19</v>
      </c>
      <c r="G131" s="16"/>
      <c r="H131" s="16"/>
      <c r="I131" s="16"/>
      <c r="J131" s="16"/>
      <c r="K131" s="16"/>
      <c r="L131" s="8" t="s">
        <v>212</v>
      </c>
      <c r="M131" s="1" t="s">
        <v>13</v>
      </c>
      <c r="N131" s="16"/>
    </row>
    <row r="132" spans="1:14" s="18" customFormat="1" ht="14.4">
      <c r="A132" s="16"/>
      <c r="B132" s="16"/>
      <c r="C132" s="16"/>
      <c r="D132" s="16"/>
      <c r="E132" s="16"/>
      <c r="F132" s="1">
        <f t="shared" ref="F132:F154" si="2">IF(G132&lt;&gt;"",F131+1,F131)</f>
        <v>19</v>
      </c>
      <c r="G132" s="16"/>
      <c r="H132" s="16"/>
      <c r="I132" s="16"/>
      <c r="J132" s="16"/>
      <c r="K132" s="16"/>
      <c r="L132" s="17" t="s">
        <v>211</v>
      </c>
      <c r="M132" s="1" t="s">
        <v>131</v>
      </c>
      <c r="N132" s="16"/>
    </row>
    <row r="133" spans="1:14" ht="41.4">
      <c r="A133" s="1" t="s">
        <v>10</v>
      </c>
      <c r="B133" s="1" t="s">
        <v>10</v>
      </c>
      <c r="C133" s="1" t="s">
        <v>34</v>
      </c>
      <c r="D133" s="1" t="s">
        <v>137</v>
      </c>
      <c r="E133" s="1" t="s">
        <v>56</v>
      </c>
      <c r="F133" s="1">
        <f t="shared" si="2"/>
        <v>20</v>
      </c>
      <c r="G133" s="1" t="s">
        <v>231</v>
      </c>
      <c r="H133" s="1" t="s">
        <v>139</v>
      </c>
      <c r="I133" s="1" t="s">
        <v>138</v>
      </c>
      <c r="J133" s="1" t="s">
        <v>11</v>
      </c>
      <c r="K133" s="1" t="s">
        <v>26</v>
      </c>
      <c r="L133" s="8" t="s">
        <v>52</v>
      </c>
      <c r="M133" s="1" t="s">
        <v>39</v>
      </c>
      <c r="N133" s="1"/>
    </row>
    <row r="134" spans="1:14">
      <c r="A134" s="1"/>
      <c r="B134" s="1"/>
      <c r="C134" s="1"/>
      <c r="D134" s="1"/>
      <c r="E134" s="1"/>
      <c r="F134" s="1">
        <f t="shared" si="2"/>
        <v>20</v>
      </c>
      <c r="G134" s="1"/>
      <c r="H134" s="1"/>
      <c r="I134" s="1"/>
      <c r="J134" s="1"/>
      <c r="K134" s="1"/>
      <c r="L134" s="8" t="s">
        <v>181</v>
      </c>
      <c r="M134" s="1" t="s">
        <v>69</v>
      </c>
      <c r="N134" s="1"/>
    </row>
    <row r="135" spans="1:14" ht="96.6">
      <c r="A135" s="1"/>
      <c r="B135" s="1"/>
      <c r="C135" s="1"/>
      <c r="D135" s="1"/>
      <c r="E135" s="1"/>
      <c r="F135" s="1">
        <f t="shared" si="2"/>
        <v>20</v>
      </c>
      <c r="G135" s="1"/>
      <c r="H135" s="1"/>
      <c r="I135" s="1"/>
      <c r="J135" s="1"/>
      <c r="K135" s="1"/>
      <c r="L135" s="8" t="s">
        <v>150</v>
      </c>
      <c r="M135" s="1" t="s">
        <v>149</v>
      </c>
      <c r="N135" s="1"/>
    </row>
    <row r="136" spans="1:14" ht="220.8">
      <c r="A136" s="1"/>
      <c r="B136" s="1"/>
      <c r="C136" s="1"/>
      <c r="D136" s="1"/>
      <c r="E136" s="1"/>
      <c r="F136" s="1">
        <f t="shared" si="2"/>
        <v>20</v>
      </c>
      <c r="G136" s="1"/>
      <c r="H136" s="1"/>
      <c r="I136" s="1"/>
      <c r="J136" s="1"/>
      <c r="K136" s="1"/>
      <c r="L136" s="8" t="s">
        <v>157</v>
      </c>
      <c r="M136" s="1" t="s">
        <v>158</v>
      </c>
      <c r="N136" s="1"/>
    </row>
    <row r="137" spans="1:14" ht="69">
      <c r="A137" s="1"/>
      <c r="B137" s="1"/>
      <c r="C137" s="1"/>
      <c r="D137" s="1"/>
      <c r="E137" s="1"/>
      <c r="F137" s="1">
        <f t="shared" si="2"/>
        <v>20</v>
      </c>
      <c r="G137" s="1"/>
      <c r="H137" s="1"/>
      <c r="I137" s="1"/>
      <c r="J137" s="1"/>
      <c r="K137" s="1"/>
      <c r="L137" s="14" t="s">
        <v>145</v>
      </c>
      <c r="M137" s="7" t="s">
        <v>146</v>
      </c>
      <c r="N137" s="1"/>
    </row>
    <row r="138" spans="1:14" ht="27.6">
      <c r="A138" s="1"/>
      <c r="B138" s="1"/>
      <c r="C138" s="1"/>
      <c r="D138" s="1"/>
      <c r="E138" s="1"/>
      <c r="F138" s="1">
        <f t="shared" si="2"/>
        <v>20</v>
      </c>
      <c r="G138" s="1"/>
      <c r="H138" s="1"/>
      <c r="I138" s="1"/>
      <c r="J138" s="1"/>
      <c r="K138" s="1"/>
      <c r="L138" s="14" t="s">
        <v>71</v>
      </c>
      <c r="M138" s="7" t="s">
        <v>73</v>
      </c>
      <c r="N138" s="1"/>
    </row>
    <row r="139" spans="1:14" ht="55.2">
      <c r="A139" s="1"/>
      <c r="B139" s="1"/>
      <c r="C139" s="1"/>
      <c r="D139" s="1"/>
      <c r="E139" s="1"/>
      <c r="F139" s="1">
        <f t="shared" si="2"/>
        <v>20</v>
      </c>
      <c r="G139" s="1"/>
      <c r="H139" s="1"/>
      <c r="I139" s="1"/>
      <c r="J139" s="1"/>
      <c r="K139" s="1"/>
      <c r="L139" s="14" t="s">
        <v>70</v>
      </c>
      <c r="M139" s="7" t="s">
        <v>72</v>
      </c>
      <c r="N139" s="1"/>
    </row>
    <row r="140" spans="1:14" ht="220.8">
      <c r="A140" s="1"/>
      <c r="B140" s="1"/>
      <c r="C140" s="1"/>
      <c r="D140" s="1"/>
      <c r="E140" s="1"/>
      <c r="F140" s="1">
        <f t="shared" si="2"/>
        <v>20</v>
      </c>
      <c r="G140" s="1"/>
      <c r="H140" s="1"/>
      <c r="I140" s="1"/>
      <c r="J140" s="1"/>
      <c r="K140" s="1"/>
      <c r="L140" s="8" t="s">
        <v>154</v>
      </c>
      <c r="M140" s="1" t="s">
        <v>155</v>
      </c>
      <c r="N140" s="1"/>
    </row>
    <row r="141" spans="1:14" ht="82.8">
      <c r="A141" s="1"/>
      <c r="B141" s="1"/>
      <c r="C141" s="1"/>
      <c r="D141" s="1"/>
      <c r="E141" s="1"/>
      <c r="F141" s="1">
        <f t="shared" si="2"/>
        <v>20</v>
      </c>
      <c r="G141" s="1"/>
      <c r="H141" s="1"/>
      <c r="I141" s="1"/>
      <c r="J141" s="1"/>
      <c r="K141" s="1"/>
      <c r="L141" s="8" t="s">
        <v>182</v>
      </c>
      <c r="M141" s="1" t="s">
        <v>183</v>
      </c>
      <c r="N141" s="1"/>
    </row>
    <row r="142" spans="1:14" ht="207">
      <c r="A142" s="1"/>
      <c r="B142" s="1"/>
      <c r="C142" s="1"/>
      <c r="D142" s="1"/>
      <c r="E142" s="1"/>
      <c r="F142" s="1">
        <f t="shared" si="2"/>
        <v>20</v>
      </c>
      <c r="G142" s="1"/>
      <c r="H142" s="1"/>
      <c r="I142" s="1"/>
      <c r="J142" s="1"/>
      <c r="K142" s="1"/>
      <c r="L142" s="19" t="s">
        <v>75</v>
      </c>
      <c r="M142" s="12" t="s">
        <v>74</v>
      </c>
      <c r="N142" s="1"/>
    </row>
    <row r="143" spans="1:14">
      <c r="A143" s="1"/>
      <c r="B143" s="1"/>
      <c r="C143" s="1"/>
      <c r="D143" s="1"/>
      <c r="E143" s="1"/>
      <c r="F143" s="1">
        <f t="shared" si="2"/>
        <v>20</v>
      </c>
      <c r="G143" s="1"/>
      <c r="H143" s="1"/>
      <c r="I143" s="1"/>
      <c r="J143" s="1"/>
      <c r="K143" s="1"/>
      <c r="L143" s="19" t="s">
        <v>117</v>
      </c>
      <c r="M143" s="12" t="s">
        <v>118</v>
      </c>
      <c r="N143" s="1"/>
    </row>
    <row r="144" spans="1:14">
      <c r="A144" s="1"/>
      <c r="B144" s="1"/>
      <c r="C144" s="1"/>
      <c r="D144" s="1"/>
      <c r="E144" s="1"/>
      <c r="F144" s="1">
        <f t="shared" si="2"/>
        <v>20</v>
      </c>
      <c r="G144" s="1"/>
      <c r="H144" s="1"/>
      <c r="I144" s="1"/>
      <c r="J144" s="1"/>
      <c r="K144" s="1"/>
      <c r="L144" s="20" t="s">
        <v>55</v>
      </c>
      <c r="M144" s="12" t="s">
        <v>43</v>
      </c>
      <c r="N144" s="1"/>
    </row>
    <row r="145" spans="1:14">
      <c r="A145" s="1"/>
      <c r="B145" s="1"/>
      <c r="C145" s="1"/>
      <c r="D145" s="1"/>
      <c r="E145" s="1"/>
      <c r="F145" s="1">
        <f t="shared" si="2"/>
        <v>20</v>
      </c>
      <c r="G145" s="1"/>
      <c r="H145" s="1"/>
      <c r="I145" s="1"/>
      <c r="J145" s="1"/>
      <c r="K145" s="1"/>
      <c r="L145" s="19" t="s">
        <v>55</v>
      </c>
      <c r="M145" s="12" t="s">
        <v>44</v>
      </c>
      <c r="N145" s="1"/>
    </row>
    <row r="146" spans="1:14" ht="69">
      <c r="A146" s="1"/>
      <c r="B146" s="1"/>
      <c r="C146" s="1"/>
      <c r="D146" s="1"/>
      <c r="E146" s="1"/>
      <c r="F146" s="1">
        <f t="shared" si="2"/>
        <v>20</v>
      </c>
      <c r="G146" s="1"/>
      <c r="H146" s="1"/>
      <c r="I146" s="1"/>
      <c r="J146" s="1"/>
      <c r="K146" s="1"/>
      <c r="L146" s="19" t="s">
        <v>161</v>
      </c>
      <c r="M146" s="12" t="s">
        <v>160</v>
      </c>
      <c r="N146" s="1"/>
    </row>
    <row r="147" spans="1:14">
      <c r="A147" s="1"/>
      <c r="B147" s="1"/>
      <c r="C147" s="1"/>
      <c r="D147" s="1"/>
      <c r="E147" s="1"/>
      <c r="F147" s="1">
        <f t="shared" si="2"/>
        <v>20</v>
      </c>
      <c r="G147" s="1"/>
      <c r="H147" s="1"/>
      <c r="I147" s="1"/>
      <c r="J147" s="1"/>
      <c r="K147" s="1"/>
      <c r="L147" s="19" t="s">
        <v>14</v>
      </c>
      <c r="M147" s="12" t="s">
        <v>76</v>
      </c>
      <c r="N147" s="1"/>
    </row>
    <row r="148" spans="1:14" ht="41.4">
      <c r="A148" s="1" t="s">
        <v>10</v>
      </c>
      <c r="B148" s="1" t="s">
        <v>10</v>
      </c>
      <c r="C148" s="1" t="s">
        <v>34</v>
      </c>
      <c r="D148" s="1" t="s">
        <v>137</v>
      </c>
      <c r="E148" s="1" t="s">
        <v>56</v>
      </c>
      <c r="F148" s="1">
        <f t="shared" si="2"/>
        <v>21</v>
      </c>
      <c r="G148" s="1" t="s">
        <v>232</v>
      </c>
      <c r="H148" s="1" t="s">
        <v>184</v>
      </c>
      <c r="I148" s="1" t="s">
        <v>213</v>
      </c>
      <c r="J148" s="1" t="s">
        <v>15</v>
      </c>
      <c r="K148" s="1"/>
      <c r="L148" s="8" t="s">
        <v>12</v>
      </c>
      <c r="M148" s="1" t="s">
        <v>39</v>
      </c>
      <c r="N148" s="1"/>
    </row>
    <row r="149" spans="1:14">
      <c r="A149" s="1"/>
      <c r="B149" s="1"/>
      <c r="C149" s="1"/>
      <c r="D149" s="1"/>
      <c r="E149" s="1"/>
      <c r="F149" s="1">
        <f t="shared" si="2"/>
        <v>21</v>
      </c>
      <c r="G149" s="1"/>
      <c r="H149" s="1"/>
      <c r="I149" s="1"/>
      <c r="J149" s="1"/>
      <c r="K149" s="1"/>
      <c r="L149" s="8" t="s">
        <v>16</v>
      </c>
      <c r="M149" s="1" t="s">
        <v>45</v>
      </c>
      <c r="N149" s="1"/>
    </row>
    <row r="150" spans="1:14" ht="69">
      <c r="A150" s="1"/>
      <c r="B150" s="1"/>
      <c r="C150" s="1"/>
      <c r="D150" s="1"/>
      <c r="E150" s="1"/>
      <c r="F150" s="1">
        <f t="shared" si="2"/>
        <v>21</v>
      </c>
      <c r="G150" s="1"/>
      <c r="H150" s="1"/>
      <c r="I150" s="1"/>
      <c r="J150" s="1"/>
      <c r="K150" s="1"/>
      <c r="L150" s="8" t="s">
        <v>77</v>
      </c>
      <c r="M150" s="1" t="s">
        <v>13</v>
      </c>
      <c r="N150" s="1"/>
    </row>
    <row r="151" spans="1:14">
      <c r="A151" s="1"/>
      <c r="B151" s="1"/>
      <c r="C151" s="1"/>
      <c r="D151" s="1"/>
      <c r="E151" s="1"/>
      <c r="F151" s="1">
        <f t="shared" si="2"/>
        <v>21</v>
      </c>
      <c r="G151" s="1"/>
      <c r="H151" s="1"/>
      <c r="I151" s="1"/>
      <c r="J151" s="1"/>
      <c r="K151" s="1"/>
      <c r="L151" s="8" t="s">
        <v>18</v>
      </c>
      <c r="M151" s="1" t="s">
        <v>19</v>
      </c>
      <c r="N151" s="1"/>
    </row>
    <row r="152" spans="1:14" ht="27.6">
      <c r="A152" s="1"/>
      <c r="B152" s="1"/>
      <c r="C152" s="1"/>
      <c r="D152" s="1"/>
      <c r="E152" s="1"/>
      <c r="F152" s="1">
        <f t="shared" si="2"/>
        <v>21</v>
      </c>
      <c r="G152" s="1"/>
      <c r="H152" s="1"/>
      <c r="I152" s="1"/>
      <c r="J152" s="1"/>
      <c r="K152" s="1"/>
      <c r="L152" s="8" t="s">
        <v>20</v>
      </c>
      <c r="M152" s="1" t="s">
        <v>79</v>
      </c>
      <c r="N152" s="1"/>
    </row>
    <row r="153" spans="1:14" ht="82.8">
      <c r="A153" s="1"/>
      <c r="B153" s="1"/>
      <c r="C153" s="1"/>
      <c r="D153" s="1"/>
      <c r="E153" s="1"/>
      <c r="F153" s="1">
        <f t="shared" si="2"/>
        <v>21</v>
      </c>
      <c r="G153" s="1"/>
      <c r="H153" s="1"/>
      <c r="I153" s="1"/>
      <c r="J153" s="1"/>
      <c r="K153" s="1"/>
      <c r="L153" s="8" t="s">
        <v>80</v>
      </c>
      <c r="M153" s="1" t="s">
        <v>78</v>
      </c>
      <c r="N153" s="1"/>
    </row>
    <row r="154" spans="1:14">
      <c r="A154" s="1"/>
      <c r="B154" s="1"/>
      <c r="C154" s="1"/>
      <c r="D154" s="1"/>
      <c r="E154" s="1"/>
      <c r="F154" s="1">
        <f t="shared" si="2"/>
        <v>21</v>
      </c>
      <c r="G154" s="1"/>
      <c r="H154" s="1"/>
      <c r="I154" s="1"/>
      <c r="J154" s="1"/>
      <c r="K154" s="1"/>
      <c r="L154" s="8" t="s">
        <v>21</v>
      </c>
      <c r="M154" s="1" t="s">
        <v>53</v>
      </c>
      <c r="N154" s="1"/>
    </row>
  </sheetData>
  <phoneticPr fontId="7"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Retail Customer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Sayed</dc:creator>
  <cp:lastModifiedBy>Ala'a Nour Eldin</cp:lastModifiedBy>
  <dcterms:created xsi:type="dcterms:W3CDTF">2022-09-04T10:29:07Z</dcterms:created>
  <dcterms:modified xsi:type="dcterms:W3CDTF">2026-02-05T19:04:35Z</dcterms:modified>
</cp:coreProperties>
</file>